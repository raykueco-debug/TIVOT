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rayku/Desktop/TIVOT/docs/"/>
    </mc:Choice>
  </mc:AlternateContent>
  <xr:revisionPtr revIDLastSave="0" documentId="10_ncr:8100000_{04D56E49-5759-5541-B558-45E78613E6BD}" xr6:coauthVersionLast="32" xr6:coauthVersionMax="32" xr10:uidLastSave="{00000000-0000-0000-0000-000000000000}"/>
  <bookViews>
    <workbookView xWindow="16780" yWindow="500" windowWidth="51200" windowHeight="26420" activeTab="2" xr2:uid="{00000000-000D-0000-FFFF-FFFF00000000}"/>
  </bookViews>
  <sheets>
    <sheet name="說明" sheetId="1" r:id="rId1"/>
    <sheet name="參數" sheetId="2" r:id="rId2"/>
    <sheet name="星價" sheetId="3" r:id="rId3"/>
    <sheet name="升級與收入" sheetId="4" r:id="rId4"/>
    <sheet name="方案比較" sheetId="5" r:id="rId5"/>
    <sheet name="失衡分析" sheetId="6" r:id="rId6"/>
  </sheets>
  <calcPr calcId="162913"/>
</workbook>
</file>

<file path=xl/calcChain.xml><?xml version="1.0" encoding="utf-8"?>
<calcChain xmlns="http://schemas.openxmlformats.org/spreadsheetml/2006/main">
  <c r="E3" i="5" l="1"/>
  <c r="F3" i="5" s="1"/>
  <c r="E21" i="4"/>
  <c r="I21" i="4" s="1"/>
  <c r="D21" i="4"/>
  <c r="E20" i="4"/>
  <c r="I20" i="4" s="1"/>
  <c r="D20" i="4"/>
  <c r="E19" i="4"/>
  <c r="I19" i="4" s="1"/>
  <c r="D19" i="4"/>
  <c r="E18" i="4"/>
  <c r="I18" i="4" s="1"/>
  <c r="D18" i="4"/>
  <c r="E17" i="4"/>
  <c r="I17" i="4" s="1"/>
  <c r="D17" i="4"/>
  <c r="E16" i="4"/>
  <c r="I16" i="4" s="1"/>
  <c r="D16" i="4"/>
  <c r="E15" i="4"/>
  <c r="I15" i="4" s="1"/>
  <c r="D15" i="4"/>
  <c r="G14" i="4"/>
  <c r="H14" i="4" s="1"/>
  <c r="E14" i="4"/>
  <c r="D14" i="4"/>
  <c r="C14" i="4"/>
  <c r="F14" i="4" s="1"/>
  <c r="E13" i="4"/>
  <c r="D13" i="4"/>
  <c r="C13" i="4"/>
  <c r="F13" i="4" s="1"/>
  <c r="G13" i="4" s="1"/>
  <c r="H13" i="4" s="1"/>
  <c r="E12" i="4"/>
  <c r="D12" i="4"/>
  <c r="E11" i="4"/>
  <c r="I11" i="4" s="1"/>
  <c r="D11" i="4"/>
  <c r="G10" i="4"/>
  <c r="H10" i="4" s="1"/>
  <c r="E10" i="4"/>
  <c r="D10" i="4"/>
  <c r="C10" i="4"/>
  <c r="F10" i="4" s="1"/>
  <c r="E9" i="4"/>
  <c r="D9" i="4"/>
  <c r="C9" i="4"/>
  <c r="F9" i="4" s="1"/>
  <c r="G9" i="4" s="1"/>
  <c r="H9" i="4" s="1"/>
  <c r="E8" i="4"/>
  <c r="D8" i="4"/>
  <c r="E7" i="4"/>
  <c r="I7" i="4" s="1"/>
  <c r="D7" i="4"/>
  <c r="G6" i="4"/>
  <c r="H6" i="4" s="1"/>
  <c r="E6" i="4"/>
  <c r="D6" i="4"/>
  <c r="C6" i="4"/>
  <c r="F6" i="4" s="1"/>
  <c r="E5" i="4"/>
  <c r="D5" i="4"/>
  <c r="C5" i="4"/>
  <c r="F5" i="4" s="1"/>
  <c r="G5" i="4" s="1"/>
  <c r="H5" i="4" s="1"/>
  <c r="E4" i="4"/>
  <c r="D4" i="4"/>
  <c r="E3" i="4"/>
  <c r="I3" i="4" s="1"/>
  <c r="D3" i="4"/>
  <c r="G2" i="4"/>
  <c r="H2" i="4" s="1"/>
  <c r="E2" i="4"/>
  <c r="D2" i="4"/>
  <c r="C2" i="4"/>
  <c r="F2" i="4" s="1"/>
  <c r="B12" i="3"/>
  <c r="C9" i="3"/>
  <c r="C8" i="3"/>
  <c r="C7" i="3"/>
  <c r="C6" i="3"/>
  <c r="C5" i="3"/>
  <c r="C4" i="3"/>
  <c r="C3" i="3"/>
  <c r="C2" i="3"/>
  <c r="B13" i="2"/>
  <c r="B12" i="2"/>
  <c r="C12" i="4" s="1"/>
  <c r="F12" i="4" s="1"/>
  <c r="G12" i="4" s="1"/>
  <c r="H12" i="4" s="1"/>
  <c r="I4" i="4" l="1"/>
  <c r="I8" i="4"/>
  <c r="I12" i="4"/>
  <c r="C3" i="4"/>
  <c r="F3" i="4" s="1"/>
  <c r="G3" i="4" s="1"/>
  <c r="H3" i="4" s="1"/>
  <c r="I5" i="4"/>
  <c r="J5" i="4" s="1"/>
  <c r="C7" i="4"/>
  <c r="F7" i="4" s="1"/>
  <c r="G7" i="4" s="1"/>
  <c r="H7" i="4" s="1"/>
  <c r="I9" i="4"/>
  <c r="J9" i="4" s="1"/>
  <c r="C11" i="4"/>
  <c r="I13" i="4"/>
  <c r="J13" i="4" s="1"/>
  <c r="C15" i="4"/>
  <c r="F15" i="4" s="1"/>
  <c r="G15" i="4" s="1"/>
  <c r="H15" i="4" s="1"/>
  <c r="C16" i="4"/>
  <c r="C17" i="4"/>
  <c r="F17" i="4" s="1"/>
  <c r="G17" i="4" s="1"/>
  <c r="H17" i="4" s="1"/>
  <c r="C18" i="4"/>
  <c r="F18" i="4" s="1"/>
  <c r="G18" i="4" s="1"/>
  <c r="H18" i="4" s="1"/>
  <c r="C19" i="4"/>
  <c r="F19" i="4" s="1"/>
  <c r="G19" i="4" s="1"/>
  <c r="H19" i="4" s="1"/>
  <c r="C20" i="4"/>
  <c r="F20" i="4" s="1"/>
  <c r="G20" i="4" s="1"/>
  <c r="H20" i="4" s="1"/>
  <c r="C21" i="4"/>
  <c r="E2" i="5"/>
  <c r="F2" i="5" s="1"/>
  <c r="E4" i="5"/>
  <c r="F4" i="5" s="1"/>
  <c r="I2" i="4"/>
  <c r="J2" i="4" s="1"/>
  <c r="C4" i="4"/>
  <c r="F4" i="4" s="1"/>
  <c r="G4" i="4" s="1"/>
  <c r="H4" i="4" s="1"/>
  <c r="I6" i="4"/>
  <c r="C8" i="4"/>
  <c r="F8" i="4" s="1"/>
  <c r="G8" i="4" s="1"/>
  <c r="H8" i="4" s="1"/>
  <c r="I10" i="4"/>
  <c r="J10" i="4" s="1"/>
  <c r="I14" i="4"/>
  <c r="J3" i="4"/>
  <c r="J4" i="4"/>
  <c r="J6" i="4"/>
  <c r="J7" i="4"/>
  <c r="J8" i="4"/>
  <c r="J11" i="4"/>
  <c r="J12" i="4"/>
  <c r="J14" i="4"/>
  <c r="J15" i="4"/>
  <c r="J16" i="4"/>
  <c r="J17" i="4"/>
  <c r="J18" i="4"/>
  <c r="J19" i="4"/>
  <c r="J20" i="4"/>
  <c r="J21" i="4"/>
  <c r="F16" i="4" l="1"/>
  <c r="G16" i="4" s="1"/>
  <c r="H16" i="4" s="1"/>
  <c r="I4" i="5"/>
  <c r="J4" i="5" s="1"/>
  <c r="I2" i="5"/>
  <c r="J2" i="5" s="1"/>
  <c r="I3" i="5"/>
  <c r="J3" i="5" s="1"/>
  <c r="F21" i="4"/>
  <c r="G21" i="4" s="1"/>
  <c r="H21" i="4" s="1"/>
  <c r="K4" i="5"/>
  <c r="L4" i="5" s="1"/>
  <c r="K3" i="5"/>
  <c r="L3" i="5" s="1"/>
  <c r="K2" i="5"/>
  <c r="L2" i="5" s="1"/>
  <c r="F11" i="4"/>
  <c r="G11" i="4" s="1"/>
  <c r="H11" i="4" s="1"/>
  <c r="G4" i="5"/>
  <c r="H4" i="5" s="1"/>
  <c r="G3" i="5"/>
  <c r="H3" i="5" s="1"/>
  <c r="G2" i="5"/>
  <c r="H2" i="5" s="1"/>
</calcChain>
</file>

<file path=xl/sharedStrings.xml><?xml version="1.0" encoding="utf-8"?>
<sst xmlns="http://schemas.openxmlformats.org/spreadsheetml/2006/main" count="148" uniqueCount="145">
  <si>
    <t>女主九星・戰鬥紀錄經濟試算（ver -1774 草稿）</t>
  </si>
  <si>
    <t>規則（Ray 定案）：星不再用等級鎖、等級上限 20。①出場就亮、② 1 份、③④ 各 2 份、⑤⑥ 各 3 份、⑦⑧ 各 4 份；⑨＝滿足特定條件（不花紀錄）。</t>
  </si>
  <si>
    <t>⇒ ②～⑧ 總共 19 份＝Lv1→Lv20 升 19 級的 19 份，滿級剛好全亮。等級只負責「產出」紀錄。</t>
  </si>
  <si>
    <t>黃底格子＝可以改的旋鈕，其餘都是公式，改了會自己重算。</t>
  </si>
  <si>
    <t>「參數」：收入的來源（每升一級幾份、Boss 局額外幾份、劇情固定給幾份）與一局的平均分數。</t>
  </si>
  <si>
    <t>「星價」：三人九顆星的價格與累計成本（價格照 Ray 的規則，改了這裡要回寫 config.js）。</t>
  </si>
  <si>
    <t>「升級與收入」：每一級要打幾局、那時手上累計幾份、依價格由便宜到貴能點幾顆。</t>
  </si>
  <si>
    <t>「方案比較」：幾組收入設定並排，看 Lv3／Lv5／Lv7／Lv9 各能點幾顆。綠底＝我的建議。</t>
  </si>
  <si>
    <t>「失衡分析」：同樣的紀錄量，三個人各自「最強的買法」是什麼、哪幾顆太便宜。</t>
  </si>
  <si>
    <t>⚠ 局數用的是「平均分數」的單一估值；實際一局 EXP 還有 overkill 與分數微擾。拿來比較方案夠用，不要拿來算精確進度。</t>
  </si>
  <si>
    <t>⚠ 索菈娜的 EXP 方向相反（分數越低 EXP 越高，config 的 invertFor），所以同樣的分數她升得不一樣快。</t>
  </si>
  <si>
    <t>重產這份表：python3 tools/girl_star_economy.py（星名與效果從 config.js 現讀）。</t>
  </si>
  <si>
    <t>旋鈕</t>
  </si>
  <si>
    <t>值</t>
  </si>
  <si>
    <t>代號</t>
  </si>
  <si>
    <t>說明</t>
  </si>
  <si>
    <t>每升一級給幾份《戰鬥紀錄》</t>
  </si>
  <si>
    <t>r</t>
  </si>
  <si>
    <t>config.girls.recordPerLevel（現值）</t>
  </si>
  <si>
    <t>Boss 局結算額外給幾份</t>
  </si>
  <si>
    <t>boss</t>
  </si>
  <si>
    <t>現在沒有這條來源；想加就填</t>
  </si>
  <si>
    <t>Boss 局佔全部局數的比例</t>
  </si>
  <si>
    <t>pboss</t>
  </si>
  <si>
    <t>估值：北泊／森林／遺蹟／古城的收段多半是 Boss</t>
  </si>
  <si>
    <t>劇情固定給（整趟主線合計）</t>
  </si>
  <si>
    <t>story</t>
  </si>
  <si>
    <t>例：每章收尾給一份就填章數</t>
  </si>
  <si>
    <t>平均一局分數（諾薇兒／安雅）</t>
  </si>
  <si>
    <t>score</t>
  </si>
  <si>
    <t>B 等約 50~64</t>
  </si>
  <si>
    <t>平均一局分數（索菈娜）</t>
  </si>
  <si>
    <t>score_s</t>
  </si>
  <si>
    <t>她的 EXP 用 100−分數 算</t>
  </si>
  <si>
    <t>EXP 基底 offset</t>
  </si>
  <si>
    <t>off</t>
  </si>
  <si>
    <t>config.rating.exp.offset</t>
  </si>
  <si>
    <t>EXP 倍率 mult</t>
  </si>
  <si>
    <t>mult</t>
  </si>
  <si>
    <t>config.rating.exp.mult</t>
  </si>
  <si>
    <t>Boss EXP 倍率</t>
  </si>
  <si>
    <t>bmul</t>
  </si>
  <si>
    <t>config.rating.bossMul.exp</t>
  </si>
  <si>
    <t>一局平均 EXP（諾／安）</t>
  </si>
  <si>
    <t>一局平均 EXP（索菈娜）</t>
  </si>
  <si>
    <t>序</t>
  </si>
  <si>
    <t>價格（份）</t>
  </si>
  <si>
    <t>累計（依序）</t>
  </si>
  <si>
    <t>諾薇兒</t>
  </si>
  <si>
    <t>安雅</t>
  </si>
  <si>
    <t>索菈娜</t>
  </si>
  <si>
    <t>★1</t>
  </si>
  <si>
    <t>先鋒星 Guisuer（變身）
聖徒化的連擊疊傷提升至 150%。</t>
  </si>
  <si>
    <t>拳鬥者星 Pollux（變身）
夢魘化期間反擊攻擊力提升至 120%。</t>
  </si>
  <si>
    <t>地弓星 Kaus Australis（主動）
彈雨傾洩的攻擊力提升至 120%。</t>
  </si>
  <si>
    <t>★2</t>
  </si>
  <si>
    <t>引路星 Asellus Borealis（變身）
失誤一次不受擊，點擊正確就重置。並在聖徒化期間全程指引下一格。</t>
  </si>
  <si>
    <t>築壩者星 Castor（主動）
夢境破碎發動後追加 10 秒反擊增益，並全程指引下一格。</t>
  </si>
  <si>
    <t>海宣星 Nunki（被動）
獵手的戰吼發動時，可再次使用獵手的智慧。</t>
  </si>
  <si>
    <t>★3</t>
  </si>
  <si>
    <t>探覓星 Nahn（主動）
發動彈雨傾洩可回復魂之歸所的使用次數。</t>
  </si>
  <si>
    <t>烙印星 Alhena（變身）
連續三次完美反擊即回復夢魘化熔斷；同場戰鬥內不可連續使用。同戰役的次場戰鬥生效。</t>
  </si>
  <si>
    <t>曳弦星 Ascella（主動）
獵手的智慧發動後追加 10 秒破防值累積量 200%。</t>
  </si>
  <si>
    <t>★4</t>
  </si>
  <si>
    <t>堅殼星 Tegmine（被動）
獄門天鎖的十秒免傷期間，每次射擊回復最大體力 5%。反擊一次算一發，聖徒化期間不作動。</t>
  </si>
  <si>
    <t>赤足星 Tejat（被動）
明晰之夢延長為 10 秒，期間所有反擊攻擊力提升。</t>
  </si>
  <si>
    <t>獵弓星 Kaus Media（變身）
獵手的共鬥期間，自動反擊威力提升 50%。</t>
  </si>
  <si>
    <t>★5</t>
  </si>
  <si>
    <t>端首星 Guisuyi（變身）
單場無傷擊殺即回復聖徒化熔斷；同場戰鬥內不可連續使用。同戰役的次場戰鬥生效。</t>
  </si>
  <si>
    <t>赤爪星 Mebsuta（主動）
夢境破碎後的反擊增益期間，所有反擊攻擊力提升。</t>
  </si>
  <si>
    <t>箭頭星 Alnasl（被動）
獵手的戰吼發動條件由連續5盤完美清盤降低為3盤。</t>
  </si>
  <si>
    <t>★6</t>
  </si>
  <si>
    <t>斷鉗星 Acubens（變身）
聖徒化時體力降至 1。</t>
  </si>
  <si>
    <t>前引星 Propus（變身）
夢魘化發動時體力先回滿，發動時間最大化。</t>
  </si>
  <si>
    <t>天弓星 Kaus Borealis（變身）
獵手的共鬥期間，自動反擊威力再提升 100%。</t>
  </si>
  <si>
    <t>★7</t>
  </si>
  <si>
    <t>蟹生星 Yuyu（被動）
獄門天鎖於同場戰役內的每一場戰鬥都可發動一次。</t>
  </si>
  <si>
    <t>鐵蹄星 Alzirr（被動）
明晰之夢延長為 15 秒，期間所有反擊攻擊力提升。</t>
  </si>
  <si>
    <t>聚落星 Albaldah（主動）
主動技發動同時回填獵手的共鬥。同一場戰鬥可連續使用。</t>
  </si>
  <si>
    <t>★8</t>
  </si>
  <si>
    <t>負行星 Asellus Australis（變身）
聖徒化時間不受到敵方攻擊減少。</t>
  </si>
  <si>
    <t>界心星 Wasat（主動）
夢境破碎若在夢魘化期間最後一格時發動，一次給與敵人最大體力的 30% 傷害。</t>
  </si>
  <si>
    <t>射手星 Eta Sagittarii（變身）
獵手的共鬥最大持續時間延長。</t>
  </si>
  <si>
    <t>★9</t>
  </si>
  <si>
    <t>條件</t>
  </si>
  <si>
    <t>—</t>
  </si>
  <si>
    <t>終焉星 Tarf（變身）
聖徒化期間的攻擊可小幅延長爆發時間。</t>
  </si>
  <si>
    <t>孿生星 κ Geminorum（變身）
夢魘化期間發動反擊先消耗破防計，破防計耗盡才開始消耗體力。</t>
  </si>
  <si>
    <t>獵手星 Phi Sagittarii（變身）
獵手的共鬥期間可累積之破防值，延長爆發時間。</t>
  </si>
  <si>
    <t>①～⑧ 合計</t>
  </si>
  <si>
    <t>等級</t>
  </si>
  <si>
    <t>累計 EXP 門檻</t>
  </si>
  <si>
    <t>局數（諾／安）</t>
  </si>
  <si>
    <t>局數（索菈娜）</t>
  </si>
  <si>
    <t>升級給的份數（累計）</t>
  </si>
  <si>
    <t>Boss 局額外（諾／安）</t>
  </si>
  <si>
    <t>手上合計（諾／安）</t>
  </si>
  <si>
    <t>能點幾顆（諾／安）</t>
  </si>
  <si>
    <t>手上合計（索）</t>
  </si>
  <si>
    <t>能點幾顆（索）</t>
  </si>
  <si>
    <t>⚠ 「劇情固定給」沒有攤進逐級（不知道哪一章在哪一級），看「方案比較」那一頁的合計。</t>
  </si>
  <si>
    <t>方案</t>
  </si>
  <si>
    <t>每升一級</t>
  </si>
  <si>
    <t>Boss 局額外</t>
  </si>
  <si>
    <t>出廠／固定給</t>
  </si>
  <si>
    <t>Lv5 份數</t>
  </si>
  <si>
    <t>Lv5 顆</t>
  </si>
  <si>
    <t>Lv10 份數</t>
  </si>
  <si>
    <t>Lv10 顆</t>
  </si>
  <si>
    <t>Lv15 份數</t>
  </si>
  <si>
    <t>Lv15 顆</t>
  </si>
  <si>
    <t>Lv20 份數</t>
  </si>
  <si>
    <t>Lv20 顆</t>
  </si>
  <si>
    <t>評語</t>
  </si>
  <si>
    <t>A 現值（每級 1、①出場就亮）</t>
  </si>
  <si>
    <t>【定案】Lv20 升 19 級＝19 份＝②～⑧ 剛好全亮。Lv5 手上 4 份＝諾薇兒 ②引路＋④堅殼（①已亮）還剩 1。</t>
  </si>
  <si>
    <t>B 每級 1＋Boss 局 1 份</t>
  </si>
  <si>
    <t>滿級前就全亮；Boss 越多的路線越快（變成鼓勵刷 Boss）。</t>
  </si>
  <si>
    <t>C 每級 2</t>
  </si>
  <si>
    <t>Lv10 前後就全亮：Lv20 那一大段等於沒有獎勵。</t>
  </si>
  <si>
    <t>⚠ ver -1776：等級上限 20（Ray）。「出廠／固定給」＝一開始就在手上的份數（每一欄都算進去）。</t>
  </si>
  <si>
    <t>⚠ 「顆」是依序由便宜到貴能點的顆數；實際玩家會跳著挑（下一頁）。</t>
  </si>
  <si>
    <t>角色</t>
  </si>
  <si>
    <t>9 份的最強買法（跳著挑）</t>
  </si>
  <si>
    <t>花費</t>
  </si>
  <si>
    <t>為什麼強</t>
  </si>
  <si>
    <t>風險</t>
  </si>
  <si>
    <t>可調的方向（等 Ray 定）</t>
  </si>
  <si>
    <t>免死組：①先鋒 ＋ ②引路 ＋ ④堅殼 ＋ ⑦蟹生</t>
  </si>
  <si>
    <t>1+1+2+4＝8</t>
  </si>
  <si>
    <t>天鎖每隻怪一次（⑦）＋天鎖十秒內射擊回血（④）＋失誤一次不受擊（②）。Lv20 制約 Lv9 湊得齊 8 份（不必改排列）。聖徒化那一路（⑥斷鉗＋⑧負行，7 份）是後期上限：一場一次、幾乎穩出 MB。</t>
  </si>
  <si>
    <t>低。⚠ 單體 Boss 只有一場 ⇒ ⑦蟹生在 Boss 戰沒有作用，手殘玩家在 Boss 前只有「一次免死＋回血」。</t>
  </si>
  <si>
    <t>【Ray 方向：早期穩定不死】要在 Boss 戰也「穩定」，④堅殼的回血是關鍵（已在 2 份的位置）；若還不夠，可讓天鎖在同一場有第二次（例如 ⑦ 改成「每一場兩次」）或把回血比例提高。</t>
  </si>
  <si>
    <t>③烙印 ＋ ⑥前引 ＋ ⑧界心</t>
  </si>
  <si>
    <t>2+3+4＝9</t>
  </si>
  <si>
    <t>回填改成下一場之後，③烙印只在連戰有用；Boss 戰一場只有一發夢境粉碎（20%，⑧ 之後 30%）。</t>
  </si>
  <si>
    <t>中→低（-1775 之前是最高）。連戰清雜怪時仍強：粉碎打死＝處決＝下一隻又能開夢魘化，可以一路串。</t>
  </si>
  <si>
    <t>已大致平衡。要再收只收連戰：例如粉碎處決不賺回發動（只留烙印星那條路）。</t>
  </si>
  <si>
    <t>②海宣 ＋ ⑤箭頭 ＋ ⑦聚落 ＋ ①地弓</t>
  </si>
  <si>
    <t>1+3+4+1＝9</t>
  </si>
  <si>
    <t>⑦聚落讓共鬥同一場可以再開，但共鬥**消耗全部破防值**、時長＝12 秒×破防值/100（最低 3 秒），期間普攻回充只有一半 ⇒ 連開的無敵時間被破防值總量封頂，而那正是彈雨的輸出來源。</t>
  </si>
  <si>
    <t>低（Ray 的設計，-1775 後確認）：連開共鬥＝輸出下降、局變長，而她的評價時間係數是 650（別人 400）⇒ 必定低評（錢是敵 HP×等第%，D 只拿 50%）。低評反而給她較多 EXP 與好感 —— 那是她「打得爛也開心」的性格，是取捨不是漏洞。</t>
  </si>
  <si>
    <t>不改。她**沒有任何回血手段**（共鬥只擋不補），連戰會被慢慢耗死 ⇒ 保守型玩家會選諾薇兒不是她（Ray），「保守玩法讓她升最快」不成立。</t>
  </si>
  <si>
    <t>結論</t>
  </si>
  <si>
    <t>前提（ver -1775）：聖徒化／夢魘化一場限一次，回填一律下一場才生效；星不用等級鎖，價格 1/1/2/2/3/3/4/4＋⑨條件。⇒ 單體 Boss 戰三人都只有「一次變身」，差距回到技能本身；安雅的便宜強星（③烙印）只剩連戰價值。索菈娜 ⑦聚落雖然同一場能再開共鬥，但被破防值總量與評價係數 650 綁住（連開＝必定低評），Ray 定為刻意的取捨，不改。諾薇兒的免死三顆（4 份）約 Lv5 可成形，但 Boss 戰只有一次免死。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</si>
</sst>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i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B2440"/>
      </patternFill>
    </fill>
    <fill>
      <patternFill patternType="solid">
        <fgColor rgb="FFFFF2B3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5" fillId="0" borderId="0" xfId="0" applyFont="1"/>
    <xf numFmtId="0" fontId="4" fillId="4" borderId="0" xfId="0" applyFont="1" applyFill="1"/>
    <xf numFmtId="0" fontId="0" fillId="4" borderId="0" xfId="0" applyFill="1"/>
    <xf numFmtId="0" fontId="0" fillId="4" borderId="0" xfId="0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="290" zoomScaleNormal="290" workbookViewId="0"/>
  </sheetViews>
  <sheetFormatPr baseColWidth="10" defaultColWidth="9" defaultRowHeight="14"/>
  <cols>
    <col min="1" max="1" width="120" customWidth="1"/>
  </cols>
  <sheetData>
    <row r="1" spans="1:1" ht="20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/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9" defaultRowHeight="14"/>
  <cols>
    <col min="1" max="1" width="34" customWidth="1"/>
    <col min="2" max="2" width="12" customWidth="1"/>
    <col min="3" max="3" width="10" customWidth="1"/>
    <col min="4" max="4" width="50" customWidth="1"/>
  </cols>
  <sheetData>
    <row r="1" spans="1:4">
      <c r="A1" s="3" t="s">
        <v>12</v>
      </c>
      <c r="B1" s="3" t="s">
        <v>13</v>
      </c>
      <c r="C1" s="3" t="s">
        <v>14</v>
      </c>
      <c r="D1" s="3" t="s">
        <v>15</v>
      </c>
    </row>
    <row r="2" spans="1:4">
      <c r="A2" t="s">
        <v>16</v>
      </c>
      <c r="B2" s="4">
        <v>1</v>
      </c>
      <c r="C2" t="s">
        <v>17</v>
      </c>
      <c r="D2" t="s">
        <v>18</v>
      </c>
    </row>
    <row r="3" spans="1:4">
      <c r="A3" t="s">
        <v>19</v>
      </c>
      <c r="B3" s="4">
        <v>0</v>
      </c>
      <c r="C3" t="s">
        <v>20</v>
      </c>
      <c r="D3" t="s">
        <v>21</v>
      </c>
    </row>
    <row r="4" spans="1:4">
      <c r="A4" t="s">
        <v>22</v>
      </c>
      <c r="B4" s="4">
        <v>0.3</v>
      </c>
      <c r="C4" t="s">
        <v>23</v>
      </c>
      <c r="D4" t="s">
        <v>24</v>
      </c>
    </row>
    <row r="5" spans="1:4">
      <c r="A5" t="s">
        <v>25</v>
      </c>
      <c r="B5" s="4">
        <v>0</v>
      </c>
      <c r="C5" t="s">
        <v>26</v>
      </c>
      <c r="D5" t="s">
        <v>27</v>
      </c>
    </row>
    <row r="6" spans="1:4">
      <c r="A6" t="s">
        <v>28</v>
      </c>
      <c r="B6" s="4">
        <v>60</v>
      </c>
      <c r="C6" t="s">
        <v>29</v>
      </c>
      <c r="D6" t="s">
        <v>30</v>
      </c>
    </row>
    <row r="7" spans="1:4">
      <c r="A7" t="s">
        <v>31</v>
      </c>
      <c r="B7" s="4">
        <v>60</v>
      </c>
      <c r="C7" t="s">
        <v>32</v>
      </c>
      <c r="D7" t="s">
        <v>33</v>
      </c>
    </row>
    <row r="8" spans="1:4">
      <c r="A8" t="s">
        <v>34</v>
      </c>
      <c r="B8" s="4">
        <v>137</v>
      </c>
      <c r="C8" t="s">
        <v>35</v>
      </c>
      <c r="D8" t="s">
        <v>36</v>
      </c>
    </row>
    <row r="9" spans="1:4">
      <c r="A9" t="s">
        <v>37</v>
      </c>
      <c r="B9" s="4">
        <v>8.6999999999999993</v>
      </c>
      <c r="C9" t="s">
        <v>38</v>
      </c>
      <c r="D9" t="s">
        <v>39</v>
      </c>
    </row>
    <row r="10" spans="1:4">
      <c r="A10" t="s">
        <v>40</v>
      </c>
      <c r="B10" s="4">
        <v>2</v>
      </c>
      <c r="C10" t="s">
        <v>41</v>
      </c>
      <c r="D10" t="s">
        <v>42</v>
      </c>
    </row>
    <row r="12" spans="1:4">
      <c r="A12" s="5" t="s">
        <v>43</v>
      </c>
      <c r="B12">
        <f>(參數!$B$8+參數!$B$6*參數!$B$9)*(1-參數!$B$4+參數!$B$4*參數!$B$10)</f>
        <v>856.69999999999993</v>
      </c>
    </row>
    <row r="13" spans="1:4">
      <c r="A13" s="5" t="s">
        <v>44</v>
      </c>
      <c r="B13">
        <f>(參數!$B$8+(100-參數!$B$7)*參數!$B$9)*(1-參數!$B$4+參數!$B$4*參數!$B$10)</f>
        <v>630.49999999999989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E8" sqref="E8"/>
    </sheetView>
  </sheetViews>
  <sheetFormatPr baseColWidth="10" defaultColWidth="9" defaultRowHeight="14"/>
  <cols>
    <col min="1" max="1" width="8" customWidth="1"/>
    <col min="2" max="2" width="10" customWidth="1"/>
    <col min="3" max="3" width="12" customWidth="1"/>
    <col min="4" max="6" width="44" customWidth="1"/>
  </cols>
  <sheetData>
    <row r="1" spans="1:6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 ht="62" customHeight="1">
      <c r="A2" s="6" t="s">
        <v>51</v>
      </c>
      <c r="B2" s="4">
        <v>0</v>
      </c>
      <c r="C2">
        <f>SUM($B$2:B2)</f>
        <v>0</v>
      </c>
      <c r="D2" s="7" t="s">
        <v>52</v>
      </c>
      <c r="E2" s="7" t="s">
        <v>53</v>
      </c>
      <c r="F2" s="7" t="s">
        <v>54</v>
      </c>
    </row>
    <row r="3" spans="1:6" ht="62" customHeight="1">
      <c r="A3" s="6" t="s">
        <v>55</v>
      </c>
      <c r="B3" s="4">
        <v>1</v>
      </c>
      <c r="C3">
        <f>SUM($B$2:B3)</f>
        <v>1</v>
      </c>
      <c r="D3" s="7" t="s">
        <v>56</v>
      </c>
      <c r="E3" s="7" t="s">
        <v>57</v>
      </c>
      <c r="F3" s="7" t="s">
        <v>58</v>
      </c>
    </row>
    <row r="4" spans="1:6" ht="62" customHeight="1">
      <c r="A4" s="6" t="s">
        <v>59</v>
      </c>
      <c r="B4" s="4">
        <v>2</v>
      </c>
      <c r="C4">
        <f>SUM($B$2:B4)</f>
        <v>3</v>
      </c>
      <c r="D4" s="7" t="s">
        <v>60</v>
      </c>
      <c r="E4" s="7" t="s">
        <v>61</v>
      </c>
      <c r="F4" s="7" t="s">
        <v>62</v>
      </c>
    </row>
    <row r="5" spans="1:6" ht="62" customHeight="1">
      <c r="A5" s="6" t="s">
        <v>63</v>
      </c>
      <c r="B5" s="4">
        <v>2</v>
      </c>
      <c r="C5">
        <f>SUM($B$2:B5)</f>
        <v>5</v>
      </c>
      <c r="D5" s="7" t="s">
        <v>64</v>
      </c>
      <c r="E5" s="7" t="s">
        <v>65</v>
      </c>
      <c r="F5" s="7" t="s">
        <v>66</v>
      </c>
    </row>
    <row r="6" spans="1:6" ht="62" customHeight="1">
      <c r="A6" s="6" t="s">
        <v>67</v>
      </c>
      <c r="B6" s="4">
        <v>3</v>
      </c>
      <c r="C6">
        <f>SUM($B$2:B6)</f>
        <v>8</v>
      </c>
      <c r="D6" s="7" t="s">
        <v>68</v>
      </c>
      <c r="E6" s="7" t="s">
        <v>69</v>
      </c>
      <c r="F6" s="7" t="s">
        <v>70</v>
      </c>
    </row>
    <row r="7" spans="1:6" ht="62" customHeight="1">
      <c r="A7" s="6" t="s">
        <v>71</v>
      </c>
      <c r="B7" s="4">
        <v>3</v>
      </c>
      <c r="C7">
        <f>SUM($B$2:B7)</f>
        <v>11</v>
      </c>
      <c r="D7" s="7" t="s">
        <v>72</v>
      </c>
      <c r="E7" s="7" t="s">
        <v>73</v>
      </c>
      <c r="F7" s="7" t="s">
        <v>74</v>
      </c>
    </row>
    <row r="8" spans="1:6" ht="62" customHeight="1">
      <c r="A8" s="6" t="s">
        <v>75</v>
      </c>
      <c r="B8" s="4">
        <v>4</v>
      </c>
      <c r="C8">
        <f>SUM($B$2:B8)</f>
        <v>15</v>
      </c>
      <c r="D8" s="7" t="s">
        <v>76</v>
      </c>
      <c r="E8" s="7" t="s">
        <v>77</v>
      </c>
      <c r="F8" s="7" t="s">
        <v>78</v>
      </c>
    </row>
    <row r="9" spans="1:6" ht="62" customHeight="1">
      <c r="A9" s="6" t="s">
        <v>79</v>
      </c>
      <c r="B9" s="4">
        <v>4</v>
      </c>
      <c r="C9">
        <f>SUM($B$2:B9)</f>
        <v>19</v>
      </c>
      <c r="D9" s="7" t="s">
        <v>80</v>
      </c>
      <c r="E9" s="7" t="s">
        <v>81</v>
      </c>
      <c r="F9" s="7" t="s">
        <v>82</v>
      </c>
    </row>
    <row r="10" spans="1:6" ht="62" customHeight="1">
      <c r="A10" s="6" t="s">
        <v>83</v>
      </c>
      <c r="B10" t="s">
        <v>84</v>
      </c>
      <c r="C10" t="s">
        <v>85</v>
      </c>
      <c r="D10" s="7" t="s">
        <v>86</v>
      </c>
      <c r="E10" s="7" t="s">
        <v>87</v>
      </c>
      <c r="F10" s="7" t="s">
        <v>88</v>
      </c>
    </row>
    <row r="12" spans="1:6">
      <c r="A12" s="5" t="s">
        <v>89</v>
      </c>
      <c r="B12" s="5">
        <f>SUM(B2:B9)</f>
        <v>19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/>
  </sheetViews>
  <sheetFormatPr baseColWidth="10" defaultColWidth="9" defaultRowHeight="14"/>
  <cols>
    <col min="1" max="1" width="8" customWidth="1"/>
    <col min="2" max="4" width="14" customWidth="1"/>
    <col min="5" max="6" width="18" customWidth="1"/>
    <col min="7" max="8" width="16" customWidth="1"/>
    <col min="9" max="10" width="14" customWidth="1"/>
  </cols>
  <sheetData>
    <row r="1" spans="1:10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</row>
    <row r="2" spans="1:10">
      <c r="A2" s="6">
        <v>1</v>
      </c>
      <c r="B2">
        <v>0</v>
      </c>
      <c r="C2">
        <f>ROUND(B2/參數!$B$12,1)</f>
        <v>0</v>
      </c>
      <c r="D2">
        <f>ROUND(B2/參數!$B$13,1)</f>
        <v>0</v>
      </c>
      <c r="E2">
        <f>(A2-1)*參數!$B$2</f>
        <v>0</v>
      </c>
      <c r="F2">
        <f>FLOOR(C2*參數!$B$4,1)*參數!$B$3</f>
        <v>0</v>
      </c>
      <c r="G2">
        <f t="shared" ref="G2:G21" si="0">E2+F2</f>
        <v>0</v>
      </c>
      <c r="H2">
        <f>SUMPRODUCT(--(星價!$C$2:$C$9&lt;=G2))</f>
        <v>1</v>
      </c>
      <c r="I2">
        <f>E2+FLOOR(D2*參數!$B$4,1)*參數!$B$3</f>
        <v>0</v>
      </c>
      <c r="J2">
        <f>SUMPRODUCT(--(星價!$C$2:$C$9&lt;=I2))</f>
        <v>1</v>
      </c>
    </row>
    <row r="3" spans="1:10">
      <c r="A3" s="6">
        <v>2</v>
      </c>
      <c r="B3">
        <v>800</v>
      </c>
      <c r="C3">
        <f>ROUND(B3/參數!$B$12,1)</f>
        <v>0.9</v>
      </c>
      <c r="D3">
        <f>ROUND(B3/參數!$B$13,1)</f>
        <v>1.3</v>
      </c>
      <c r="E3">
        <f>(A3-1)*參數!$B$2</f>
        <v>1</v>
      </c>
      <c r="F3">
        <f>FLOOR(C3*參數!$B$4,1)*參數!$B$3</f>
        <v>0</v>
      </c>
      <c r="G3">
        <f t="shared" si="0"/>
        <v>1</v>
      </c>
      <c r="H3">
        <f>SUMPRODUCT(--(星價!$C$2:$C$9&lt;=G3))</f>
        <v>2</v>
      </c>
      <c r="I3">
        <f>E3+FLOOR(D3*參數!$B$4,1)*參數!$B$3</f>
        <v>1</v>
      </c>
      <c r="J3">
        <f>SUMPRODUCT(--(星價!$C$2:$C$9&lt;=I3))</f>
        <v>2</v>
      </c>
    </row>
    <row r="4" spans="1:10">
      <c r="A4" s="6">
        <v>3</v>
      </c>
      <c r="B4">
        <v>1700</v>
      </c>
      <c r="C4">
        <f>ROUND(B4/參數!$B$12,1)</f>
        <v>2</v>
      </c>
      <c r="D4">
        <f>ROUND(B4/參數!$B$13,1)</f>
        <v>2.7</v>
      </c>
      <c r="E4">
        <f>(A4-1)*參數!$B$2</f>
        <v>2</v>
      </c>
      <c r="F4">
        <f>FLOOR(C4*參數!$B$4,1)*參數!$B$3</f>
        <v>0</v>
      </c>
      <c r="G4">
        <f t="shared" si="0"/>
        <v>2</v>
      </c>
      <c r="H4">
        <f>SUMPRODUCT(--(星價!$C$2:$C$9&lt;=G4))</f>
        <v>2</v>
      </c>
      <c r="I4">
        <f>E4+FLOOR(D4*參數!$B$4,1)*參數!$B$3</f>
        <v>2</v>
      </c>
      <c r="J4">
        <f>SUMPRODUCT(--(星價!$C$2:$C$9&lt;=I4))</f>
        <v>2</v>
      </c>
    </row>
    <row r="5" spans="1:10">
      <c r="A5" s="6">
        <v>4</v>
      </c>
      <c r="B5">
        <v>2700</v>
      </c>
      <c r="C5">
        <f>ROUND(B5/參數!$B$12,1)</f>
        <v>3.2</v>
      </c>
      <c r="D5">
        <f>ROUND(B5/參數!$B$13,1)</f>
        <v>4.3</v>
      </c>
      <c r="E5">
        <f>(A5-1)*參數!$B$2</f>
        <v>3</v>
      </c>
      <c r="F5">
        <f>FLOOR(C5*參數!$B$4,1)*參數!$B$3</f>
        <v>0</v>
      </c>
      <c r="G5">
        <f t="shared" si="0"/>
        <v>3</v>
      </c>
      <c r="H5">
        <f>SUMPRODUCT(--(星價!$C$2:$C$9&lt;=G5))</f>
        <v>3</v>
      </c>
      <c r="I5">
        <f>E5+FLOOR(D5*參數!$B$4,1)*參數!$B$3</f>
        <v>3</v>
      </c>
      <c r="J5">
        <f>SUMPRODUCT(--(星價!$C$2:$C$9&lt;=I5))</f>
        <v>3</v>
      </c>
    </row>
    <row r="6" spans="1:10">
      <c r="A6" s="6">
        <v>5</v>
      </c>
      <c r="B6">
        <v>3800</v>
      </c>
      <c r="C6">
        <f>ROUND(B6/參數!$B$12,1)</f>
        <v>4.4000000000000004</v>
      </c>
      <c r="D6">
        <f>ROUND(B6/參數!$B$13,1)</f>
        <v>6</v>
      </c>
      <c r="E6">
        <f>(A6-1)*參數!$B$2</f>
        <v>4</v>
      </c>
      <c r="F6">
        <f>FLOOR(C6*參數!$B$4,1)*參數!$B$3</f>
        <v>0</v>
      </c>
      <c r="G6">
        <f t="shared" si="0"/>
        <v>4</v>
      </c>
      <c r="H6">
        <f>SUMPRODUCT(--(星價!$C$2:$C$9&lt;=G6))</f>
        <v>3</v>
      </c>
      <c r="I6">
        <f>E6+FLOOR(D6*參數!$B$4,1)*參數!$B$3</f>
        <v>4</v>
      </c>
      <c r="J6">
        <f>SUMPRODUCT(--(星價!$C$2:$C$9&lt;=I6))</f>
        <v>3</v>
      </c>
    </row>
    <row r="7" spans="1:10">
      <c r="A7" s="6">
        <v>6</v>
      </c>
      <c r="B7">
        <v>5050</v>
      </c>
      <c r="C7">
        <f>ROUND(B7/參數!$B$12,1)</f>
        <v>5.9</v>
      </c>
      <c r="D7">
        <f>ROUND(B7/參數!$B$13,1)</f>
        <v>8</v>
      </c>
      <c r="E7">
        <f>(A7-1)*參數!$B$2</f>
        <v>5</v>
      </c>
      <c r="F7">
        <f>FLOOR(C7*參數!$B$4,1)*參數!$B$3</f>
        <v>0</v>
      </c>
      <c r="G7">
        <f t="shared" si="0"/>
        <v>5</v>
      </c>
      <c r="H7">
        <f>SUMPRODUCT(--(星價!$C$2:$C$9&lt;=G7))</f>
        <v>4</v>
      </c>
      <c r="I7">
        <f>E7+FLOOR(D7*參數!$B$4,1)*參數!$B$3</f>
        <v>5</v>
      </c>
      <c r="J7">
        <f>SUMPRODUCT(--(星價!$C$2:$C$9&lt;=I7))</f>
        <v>4</v>
      </c>
    </row>
    <row r="8" spans="1:10">
      <c r="A8" s="6">
        <v>7</v>
      </c>
      <c r="B8">
        <v>6450</v>
      </c>
      <c r="C8">
        <f>ROUND(B8/參數!$B$12,1)</f>
        <v>7.5</v>
      </c>
      <c r="D8">
        <f>ROUND(B8/參數!$B$13,1)</f>
        <v>10.199999999999999</v>
      </c>
      <c r="E8">
        <f>(A8-1)*參數!$B$2</f>
        <v>6</v>
      </c>
      <c r="F8">
        <f>FLOOR(C8*參數!$B$4,1)*參數!$B$3</f>
        <v>0</v>
      </c>
      <c r="G8">
        <f t="shared" si="0"/>
        <v>6</v>
      </c>
      <c r="H8">
        <f>SUMPRODUCT(--(星價!$C$2:$C$9&lt;=G8))</f>
        <v>4</v>
      </c>
      <c r="I8">
        <f>E8+FLOOR(D8*參數!$B$4,1)*參數!$B$3</f>
        <v>6</v>
      </c>
      <c r="J8">
        <f>SUMPRODUCT(--(星價!$C$2:$C$9&lt;=I8))</f>
        <v>4</v>
      </c>
    </row>
    <row r="9" spans="1:10">
      <c r="A9" s="6">
        <v>8</v>
      </c>
      <c r="B9">
        <v>8050</v>
      </c>
      <c r="C9">
        <f>ROUND(B9/參數!$B$12,1)</f>
        <v>9.4</v>
      </c>
      <c r="D9">
        <f>ROUND(B9/參數!$B$13,1)</f>
        <v>12.8</v>
      </c>
      <c r="E9">
        <f>(A9-1)*參數!$B$2</f>
        <v>7</v>
      </c>
      <c r="F9">
        <f>FLOOR(C9*參數!$B$4,1)*參數!$B$3</f>
        <v>0</v>
      </c>
      <c r="G9">
        <f t="shared" si="0"/>
        <v>7</v>
      </c>
      <c r="H9">
        <f>SUMPRODUCT(--(星價!$C$2:$C$9&lt;=G9))</f>
        <v>4</v>
      </c>
      <c r="I9">
        <f>E9+FLOOR(D9*參數!$B$4,1)*參數!$B$3</f>
        <v>7</v>
      </c>
      <c r="J9">
        <f>SUMPRODUCT(--(星價!$C$2:$C$9&lt;=I9))</f>
        <v>4</v>
      </c>
    </row>
    <row r="10" spans="1:10">
      <c r="A10" s="6">
        <v>9</v>
      </c>
      <c r="B10">
        <v>9800</v>
      </c>
      <c r="C10">
        <f>ROUND(B10/參數!$B$12,1)</f>
        <v>11.4</v>
      </c>
      <c r="D10">
        <f>ROUND(B10/參數!$B$13,1)</f>
        <v>15.5</v>
      </c>
      <c r="E10">
        <f>(A10-1)*參數!$B$2</f>
        <v>8</v>
      </c>
      <c r="F10">
        <f>FLOOR(C10*參數!$B$4,1)*參數!$B$3</f>
        <v>0</v>
      </c>
      <c r="G10">
        <f t="shared" si="0"/>
        <v>8</v>
      </c>
      <c r="H10">
        <f>SUMPRODUCT(--(星價!$C$2:$C$9&lt;=G10))</f>
        <v>5</v>
      </c>
      <c r="I10">
        <f>E10+FLOOR(D10*參數!$B$4,1)*參數!$B$3</f>
        <v>8</v>
      </c>
      <c r="J10">
        <f>SUMPRODUCT(--(星價!$C$2:$C$9&lt;=I10))</f>
        <v>5</v>
      </c>
    </row>
    <row r="11" spans="1:10">
      <c r="A11" s="6">
        <v>10</v>
      </c>
      <c r="B11">
        <v>11800</v>
      </c>
      <c r="C11">
        <f>ROUND(B11/參數!$B$12,1)</f>
        <v>13.8</v>
      </c>
      <c r="D11">
        <f>ROUND(B11/參數!$B$13,1)</f>
        <v>18.7</v>
      </c>
      <c r="E11">
        <f>(A11-1)*參數!$B$2</f>
        <v>9</v>
      </c>
      <c r="F11">
        <f>FLOOR(C11*參數!$B$4,1)*參數!$B$3</f>
        <v>0</v>
      </c>
      <c r="G11">
        <f t="shared" si="0"/>
        <v>9</v>
      </c>
      <c r="H11">
        <f>SUMPRODUCT(--(星價!$C$2:$C$9&lt;=G11))</f>
        <v>5</v>
      </c>
      <c r="I11">
        <f>E11+FLOOR(D11*參數!$B$4,1)*參數!$B$3</f>
        <v>9</v>
      </c>
      <c r="J11">
        <f>SUMPRODUCT(--(星價!$C$2:$C$9&lt;=I11))</f>
        <v>5</v>
      </c>
    </row>
    <row r="12" spans="1:10">
      <c r="A12" s="6">
        <v>11</v>
      </c>
      <c r="B12">
        <v>14000</v>
      </c>
      <c r="C12">
        <f>ROUND(B12/參數!$B$12,1)</f>
        <v>16.3</v>
      </c>
      <c r="D12">
        <f>ROUND(B12/參數!$B$13,1)</f>
        <v>22.2</v>
      </c>
      <c r="E12">
        <f>(A12-1)*參數!$B$2</f>
        <v>10</v>
      </c>
      <c r="F12">
        <f>FLOOR(C12*參數!$B$4,1)*參數!$B$3</f>
        <v>0</v>
      </c>
      <c r="G12">
        <f t="shared" si="0"/>
        <v>10</v>
      </c>
      <c r="H12">
        <f>SUMPRODUCT(--(星價!$C$2:$C$9&lt;=G12))</f>
        <v>5</v>
      </c>
      <c r="I12">
        <f>E12+FLOOR(D12*參數!$B$4,1)*參數!$B$3</f>
        <v>10</v>
      </c>
      <c r="J12">
        <f>SUMPRODUCT(--(星價!$C$2:$C$9&lt;=I12))</f>
        <v>5</v>
      </c>
    </row>
    <row r="13" spans="1:10">
      <c r="A13" s="6">
        <v>12</v>
      </c>
      <c r="B13">
        <v>16500</v>
      </c>
      <c r="C13">
        <f>ROUND(B13/參數!$B$12,1)</f>
        <v>19.3</v>
      </c>
      <c r="D13">
        <f>ROUND(B13/參數!$B$13,1)</f>
        <v>26.2</v>
      </c>
      <c r="E13">
        <f>(A13-1)*參數!$B$2</f>
        <v>11</v>
      </c>
      <c r="F13">
        <f>FLOOR(C13*參數!$B$4,1)*參數!$B$3</f>
        <v>0</v>
      </c>
      <c r="G13">
        <f t="shared" si="0"/>
        <v>11</v>
      </c>
      <c r="H13">
        <f>SUMPRODUCT(--(星價!$C$2:$C$9&lt;=G13))</f>
        <v>6</v>
      </c>
      <c r="I13">
        <f>E13+FLOOR(D13*參數!$B$4,1)*參數!$B$3</f>
        <v>11</v>
      </c>
      <c r="J13">
        <f>SUMPRODUCT(--(星價!$C$2:$C$9&lt;=I13))</f>
        <v>6</v>
      </c>
    </row>
    <row r="14" spans="1:10">
      <c r="A14" s="6">
        <v>13</v>
      </c>
      <c r="B14">
        <v>19300</v>
      </c>
      <c r="C14">
        <f>ROUND(B14/參數!$B$12,1)</f>
        <v>22.5</v>
      </c>
      <c r="D14">
        <f>ROUND(B14/參數!$B$13,1)</f>
        <v>30.6</v>
      </c>
      <c r="E14">
        <f>(A14-1)*參數!$B$2</f>
        <v>12</v>
      </c>
      <c r="F14">
        <f>FLOOR(C14*參數!$B$4,1)*參數!$B$3</f>
        <v>0</v>
      </c>
      <c r="G14">
        <f t="shared" si="0"/>
        <v>12</v>
      </c>
      <c r="H14">
        <f>SUMPRODUCT(--(星價!$C$2:$C$9&lt;=G14))</f>
        <v>6</v>
      </c>
      <c r="I14">
        <f>E14+FLOOR(D14*參數!$B$4,1)*參數!$B$3</f>
        <v>12</v>
      </c>
      <c r="J14">
        <f>SUMPRODUCT(--(星價!$C$2:$C$9&lt;=I14))</f>
        <v>6</v>
      </c>
    </row>
    <row r="15" spans="1:10">
      <c r="A15" s="6">
        <v>14</v>
      </c>
      <c r="B15">
        <v>22400</v>
      </c>
      <c r="C15">
        <f>ROUND(B15/參數!$B$12,1)</f>
        <v>26.1</v>
      </c>
      <c r="D15">
        <f>ROUND(B15/參數!$B$13,1)</f>
        <v>35.5</v>
      </c>
      <c r="E15">
        <f>(A15-1)*參數!$B$2</f>
        <v>13</v>
      </c>
      <c r="F15">
        <f>FLOOR(C15*參數!$B$4,1)*參數!$B$3</f>
        <v>0</v>
      </c>
      <c r="G15">
        <f t="shared" si="0"/>
        <v>13</v>
      </c>
      <c r="H15">
        <f>SUMPRODUCT(--(星價!$C$2:$C$9&lt;=G15))</f>
        <v>6</v>
      </c>
      <c r="I15">
        <f>E15+FLOOR(D15*參數!$B$4,1)*參數!$B$3</f>
        <v>13</v>
      </c>
      <c r="J15">
        <f>SUMPRODUCT(--(星價!$C$2:$C$9&lt;=I15))</f>
        <v>6</v>
      </c>
    </row>
    <row r="16" spans="1:10">
      <c r="A16" s="6">
        <v>15</v>
      </c>
      <c r="B16">
        <v>25900</v>
      </c>
      <c r="C16">
        <f>ROUND(B16/參數!$B$12,1)</f>
        <v>30.2</v>
      </c>
      <c r="D16">
        <f>ROUND(B16/參數!$B$13,1)</f>
        <v>41.1</v>
      </c>
      <c r="E16">
        <f>(A16-1)*參數!$B$2</f>
        <v>14</v>
      </c>
      <c r="F16">
        <f>FLOOR(C16*參數!$B$4,1)*參數!$B$3</f>
        <v>0</v>
      </c>
      <c r="G16">
        <f t="shared" si="0"/>
        <v>14</v>
      </c>
      <c r="H16">
        <f>SUMPRODUCT(--(星價!$C$2:$C$9&lt;=G16))</f>
        <v>6</v>
      </c>
      <c r="I16">
        <f>E16+FLOOR(D16*參數!$B$4,1)*參數!$B$3</f>
        <v>14</v>
      </c>
      <c r="J16">
        <f>SUMPRODUCT(--(星價!$C$2:$C$9&lt;=I16))</f>
        <v>6</v>
      </c>
    </row>
    <row r="17" spans="1:10">
      <c r="A17" s="6">
        <v>16</v>
      </c>
      <c r="B17">
        <v>29800</v>
      </c>
      <c r="C17">
        <f>ROUND(B17/參數!$B$12,1)</f>
        <v>34.799999999999997</v>
      </c>
      <c r="D17">
        <f>ROUND(B17/參數!$B$13,1)</f>
        <v>47.3</v>
      </c>
      <c r="E17">
        <f>(A17-1)*參數!$B$2</f>
        <v>15</v>
      </c>
      <c r="F17">
        <f>FLOOR(C17*參數!$B$4,1)*參數!$B$3</f>
        <v>0</v>
      </c>
      <c r="G17">
        <f t="shared" si="0"/>
        <v>15</v>
      </c>
      <c r="H17">
        <f>SUMPRODUCT(--(星價!$C$2:$C$9&lt;=G17))</f>
        <v>7</v>
      </c>
      <c r="I17">
        <f>E17+FLOOR(D17*參數!$B$4,1)*參數!$B$3</f>
        <v>15</v>
      </c>
      <c r="J17">
        <f>SUMPRODUCT(--(星價!$C$2:$C$9&lt;=I17))</f>
        <v>7</v>
      </c>
    </row>
    <row r="18" spans="1:10">
      <c r="A18" s="6">
        <v>17</v>
      </c>
      <c r="B18">
        <v>34200</v>
      </c>
      <c r="C18">
        <f>ROUND(B18/參數!$B$12,1)</f>
        <v>39.9</v>
      </c>
      <c r="D18">
        <f>ROUND(B18/參數!$B$13,1)</f>
        <v>54.2</v>
      </c>
      <c r="E18">
        <f>(A18-1)*參數!$B$2</f>
        <v>16</v>
      </c>
      <c r="F18">
        <f>FLOOR(C18*參數!$B$4,1)*參數!$B$3</f>
        <v>0</v>
      </c>
      <c r="G18">
        <f t="shared" si="0"/>
        <v>16</v>
      </c>
      <c r="H18">
        <f>SUMPRODUCT(--(星價!$C$2:$C$9&lt;=G18))</f>
        <v>7</v>
      </c>
      <c r="I18">
        <f>E18+FLOOR(D18*參數!$B$4,1)*參數!$B$3</f>
        <v>16</v>
      </c>
      <c r="J18">
        <f>SUMPRODUCT(--(星價!$C$2:$C$9&lt;=I18))</f>
        <v>7</v>
      </c>
    </row>
    <row r="19" spans="1:10">
      <c r="A19" s="6">
        <v>18</v>
      </c>
      <c r="B19">
        <v>39100</v>
      </c>
      <c r="C19">
        <f>ROUND(B19/參數!$B$12,1)</f>
        <v>45.6</v>
      </c>
      <c r="D19">
        <f>ROUND(B19/參數!$B$13,1)</f>
        <v>62</v>
      </c>
      <c r="E19">
        <f>(A19-1)*參數!$B$2</f>
        <v>17</v>
      </c>
      <c r="F19">
        <f>FLOOR(C19*參數!$B$4,1)*參數!$B$3</f>
        <v>0</v>
      </c>
      <c r="G19">
        <f t="shared" si="0"/>
        <v>17</v>
      </c>
      <c r="H19">
        <f>SUMPRODUCT(--(星價!$C$2:$C$9&lt;=G19))</f>
        <v>7</v>
      </c>
      <c r="I19">
        <f>E19+FLOOR(D19*參數!$B$4,1)*參數!$B$3</f>
        <v>17</v>
      </c>
      <c r="J19">
        <f>SUMPRODUCT(--(星價!$C$2:$C$9&lt;=I19))</f>
        <v>7</v>
      </c>
    </row>
    <row r="20" spans="1:10">
      <c r="A20" s="6">
        <v>19</v>
      </c>
      <c r="B20">
        <v>44600</v>
      </c>
      <c r="C20">
        <f>ROUND(B20/參數!$B$12,1)</f>
        <v>52.1</v>
      </c>
      <c r="D20">
        <f>ROUND(B20/參數!$B$13,1)</f>
        <v>70.7</v>
      </c>
      <c r="E20">
        <f>(A20-1)*參數!$B$2</f>
        <v>18</v>
      </c>
      <c r="F20">
        <f>FLOOR(C20*參數!$B$4,1)*參數!$B$3</f>
        <v>0</v>
      </c>
      <c r="G20">
        <f t="shared" si="0"/>
        <v>18</v>
      </c>
      <c r="H20">
        <f>SUMPRODUCT(--(星價!$C$2:$C$9&lt;=G20))</f>
        <v>7</v>
      </c>
      <c r="I20">
        <f>E20+FLOOR(D20*參數!$B$4,1)*參數!$B$3</f>
        <v>18</v>
      </c>
      <c r="J20">
        <f>SUMPRODUCT(--(星價!$C$2:$C$9&lt;=I20))</f>
        <v>7</v>
      </c>
    </row>
    <row r="21" spans="1:10">
      <c r="A21" s="6">
        <v>20</v>
      </c>
      <c r="B21">
        <v>50750</v>
      </c>
      <c r="C21">
        <f>ROUND(B21/參數!$B$12,1)</f>
        <v>59.2</v>
      </c>
      <c r="D21">
        <f>ROUND(B21/參數!$B$13,1)</f>
        <v>80.5</v>
      </c>
      <c r="E21">
        <f>(A21-1)*參數!$B$2</f>
        <v>19</v>
      </c>
      <c r="F21">
        <f>FLOOR(C21*參數!$B$4,1)*參數!$B$3</f>
        <v>0</v>
      </c>
      <c r="G21">
        <f t="shared" si="0"/>
        <v>19</v>
      </c>
      <c r="H21">
        <f>SUMPRODUCT(--(星價!$C$2:$C$9&lt;=G21))</f>
        <v>8</v>
      </c>
      <c r="I21">
        <f>E21+FLOOR(D21*參數!$B$4,1)*參數!$B$3</f>
        <v>19</v>
      </c>
      <c r="J21">
        <f>SUMPRODUCT(--(星價!$C$2:$C$9&lt;=I21))</f>
        <v>8</v>
      </c>
    </row>
    <row r="23" spans="1:10">
      <c r="A23" s="8" t="s">
        <v>100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/>
  </sheetViews>
  <sheetFormatPr baseColWidth="10" defaultColWidth="9" defaultRowHeight="14"/>
  <cols>
    <col min="1" max="1" width="24" customWidth="1"/>
    <col min="2" max="2" width="10" customWidth="1"/>
    <col min="3" max="4" width="12" customWidth="1"/>
    <col min="5" max="5" width="9" customWidth="1"/>
    <col min="6" max="6" width="7" customWidth="1"/>
    <col min="7" max="7" width="9" customWidth="1"/>
    <col min="8" max="8" width="7" customWidth="1"/>
    <col min="9" max="9" width="9" customWidth="1"/>
    <col min="10" max="10" width="7" customWidth="1"/>
    <col min="11" max="11" width="9" customWidth="1"/>
    <col min="12" max="12" width="7" customWidth="1"/>
    <col min="13" max="13" width="60" customWidth="1"/>
  </cols>
  <sheetData>
    <row r="1" spans="1:13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</row>
    <row r="2" spans="1:13" ht="34" customHeight="1">
      <c r="A2" s="9" t="s">
        <v>114</v>
      </c>
      <c r="B2" s="4">
        <v>1</v>
      </c>
      <c r="C2" s="4">
        <v>0</v>
      </c>
      <c r="D2" s="4">
        <v>0</v>
      </c>
      <c r="E2" s="10">
        <f>(5-1)*B2+FLOOR(升級與收入!C6*參數!$B$4,1)*C2+D2</f>
        <v>4</v>
      </c>
      <c r="F2" s="10">
        <f>SUMPRODUCT(--(星價!$C$2:$C$9&lt;=E2))</f>
        <v>3</v>
      </c>
      <c r="G2" s="10">
        <f>(10-1)*B2+FLOOR(升級與收入!C11*參數!$B$4,1)*C2+D2</f>
        <v>9</v>
      </c>
      <c r="H2" s="10">
        <f>SUMPRODUCT(--(星價!$C$2:$C$9&lt;=G2))</f>
        <v>5</v>
      </c>
      <c r="I2" s="10">
        <f>(15-1)*B2+FLOOR(升級與收入!C16*參數!$B$4,1)*C2+D2</f>
        <v>14</v>
      </c>
      <c r="J2" s="10">
        <f>SUMPRODUCT(--(星價!$C$2:$C$9&lt;=I2))</f>
        <v>6</v>
      </c>
      <c r="K2" s="10">
        <f>(20-1)*B2+FLOOR(升級與收入!C21*參數!$B$4,1)*C2+D2</f>
        <v>19</v>
      </c>
      <c r="L2" s="10">
        <f>SUMPRODUCT(--(星價!$C$2:$C$9&lt;=K2))</f>
        <v>8</v>
      </c>
      <c r="M2" s="11" t="s">
        <v>115</v>
      </c>
    </row>
    <row r="3" spans="1:13" ht="34" customHeight="1">
      <c r="A3" s="5" t="s">
        <v>116</v>
      </c>
      <c r="B3" s="4">
        <v>1</v>
      </c>
      <c r="C3" s="4">
        <v>1</v>
      </c>
      <c r="D3" s="4">
        <v>0</v>
      </c>
      <c r="E3">
        <f>(5-1)*B3+FLOOR(升級與收入!C6*參數!$B$4,1)*C3+D3</f>
        <v>5</v>
      </c>
      <c r="F3">
        <f>SUMPRODUCT(--(星價!$C$2:$C$9&lt;=E3))</f>
        <v>4</v>
      </c>
      <c r="G3">
        <f>(10-1)*B3+FLOOR(升級與收入!C11*參數!$B$4,1)*C3+D3</f>
        <v>13</v>
      </c>
      <c r="H3">
        <f>SUMPRODUCT(--(星價!$C$2:$C$9&lt;=G3))</f>
        <v>6</v>
      </c>
      <c r="I3">
        <f>(15-1)*B3+FLOOR(升級與收入!C16*參數!$B$4,1)*C3+D3</f>
        <v>23</v>
      </c>
      <c r="J3">
        <f>SUMPRODUCT(--(星價!$C$2:$C$9&lt;=I3))</f>
        <v>8</v>
      </c>
      <c r="K3">
        <f>(20-1)*B3+FLOOR(升級與收入!C21*參數!$B$4,1)*C3+D3</f>
        <v>36</v>
      </c>
      <c r="L3">
        <f>SUMPRODUCT(--(星價!$C$2:$C$9&lt;=K3))</f>
        <v>8</v>
      </c>
      <c r="M3" s="7" t="s">
        <v>117</v>
      </c>
    </row>
    <row r="4" spans="1:13" ht="34" customHeight="1">
      <c r="A4" s="5" t="s">
        <v>118</v>
      </c>
      <c r="B4" s="4">
        <v>2</v>
      </c>
      <c r="C4" s="4">
        <v>0</v>
      </c>
      <c r="D4" s="4">
        <v>0</v>
      </c>
      <c r="E4">
        <f>(5-1)*B4+FLOOR(升級與收入!C6*參數!$B$4,1)*C4+D4</f>
        <v>8</v>
      </c>
      <c r="F4">
        <f>SUMPRODUCT(--(星價!$C$2:$C$9&lt;=E4))</f>
        <v>5</v>
      </c>
      <c r="G4">
        <f>(10-1)*B4+FLOOR(升級與收入!C11*參數!$B$4,1)*C4+D4</f>
        <v>18</v>
      </c>
      <c r="H4">
        <f>SUMPRODUCT(--(星價!$C$2:$C$9&lt;=G4))</f>
        <v>7</v>
      </c>
      <c r="I4">
        <f>(15-1)*B4+FLOOR(升級與收入!C16*參數!$B$4,1)*C4+D4</f>
        <v>28</v>
      </c>
      <c r="J4">
        <f>SUMPRODUCT(--(星價!$C$2:$C$9&lt;=I4))</f>
        <v>8</v>
      </c>
      <c r="K4">
        <f>(20-1)*B4+FLOOR(升級與收入!C21*參數!$B$4,1)*C4+D4</f>
        <v>38</v>
      </c>
      <c r="L4">
        <f>SUMPRODUCT(--(星價!$C$2:$C$9&lt;=K4))</f>
        <v>8</v>
      </c>
      <c r="M4" s="7" t="s">
        <v>119</v>
      </c>
    </row>
    <row r="9" spans="1:13">
      <c r="A9" s="8" t="s">
        <v>120</v>
      </c>
    </row>
    <row r="10" spans="1:13">
      <c r="A10" s="8" t="s">
        <v>121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baseColWidth="10" defaultColWidth="9" defaultRowHeight="14"/>
  <cols>
    <col min="1" max="1" width="10" customWidth="1"/>
    <col min="2" max="2" width="34" customWidth="1"/>
    <col min="3" max="3" width="12" customWidth="1"/>
    <col min="4" max="4" width="46" customWidth="1"/>
    <col min="5" max="5" width="30" customWidth="1"/>
    <col min="6" max="6" width="46" customWidth="1"/>
  </cols>
  <sheetData>
    <row r="1" spans="1:6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</row>
    <row r="2" spans="1:6" ht="78" customHeight="1">
      <c r="A2" s="12" t="s">
        <v>48</v>
      </c>
      <c r="B2" s="12" t="s">
        <v>128</v>
      </c>
      <c r="C2" s="12" t="s">
        <v>129</v>
      </c>
      <c r="D2" s="12" t="s">
        <v>130</v>
      </c>
      <c r="E2" s="12" t="s">
        <v>131</v>
      </c>
      <c r="F2" s="12" t="s">
        <v>132</v>
      </c>
    </row>
    <row r="3" spans="1:6" ht="78" customHeight="1">
      <c r="A3" s="12" t="s">
        <v>49</v>
      </c>
      <c r="B3" s="12" t="s">
        <v>133</v>
      </c>
      <c r="C3" s="12" t="s">
        <v>134</v>
      </c>
      <c r="D3" s="12" t="s">
        <v>135</v>
      </c>
      <c r="E3" s="12" t="s">
        <v>136</v>
      </c>
      <c r="F3" s="12" t="s">
        <v>137</v>
      </c>
    </row>
    <row r="4" spans="1:6" ht="78" customHeight="1">
      <c r="A4" s="12" t="s">
        <v>50</v>
      </c>
      <c r="B4" s="12" t="s">
        <v>138</v>
      </c>
      <c r="C4" s="12" t="s">
        <v>139</v>
      </c>
      <c r="D4" s="12" t="s">
        <v>140</v>
      </c>
      <c r="E4" s="12" t="s">
        <v>141</v>
      </c>
      <c r="F4" s="12" t="s">
        <v>142</v>
      </c>
    </row>
    <row r="6" spans="1:6">
      <c r="A6" s="5" t="s">
        <v>143</v>
      </c>
    </row>
    <row r="7" spans="1:6" ht="60" customHeight="1">
      <c r="A7" s="13" t="s">
        <v>144</v>
      </c>
      <c r="B7" s="14"/>
      <c r="C7" s="14"/>
      <c r="D7" s="14"/>
      <c r="E7" s="14"/>
      <c r="F7" s="14"/>
    </row>
  </sheetData>
  <mergeCells count="1">
    <mergeCell ref="A7:F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說明</vt:lpstr>
      <vt:lpstr>參數</vt:lpstr>
      <vt:lpstr>星價</vt:lpstr>
      <vt:lpstr>升級與收入</vt:lpstr>
      <vt:lpstr>方案比較</vt:lpstr>
      <vt:lpstr>失衡分析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使用者</cp:lastModifiedBy>
  <dcterms:created xsi:type="dcterms:W3CDTF">2026-09-26T17:16:21Z</dcterms:created>
  <dcterms:modified xsi:type="dcterms:W3CDTF">2026-09-26T17:49:26Z</dcterms:modified>
</cp:coreProperties>
</file>