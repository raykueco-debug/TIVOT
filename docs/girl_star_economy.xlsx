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定案）：星不再用等級鎖。①② 各 1 份、③④ 各 2 份、⑤⑥ 各 3 份、⑦⑧ 各 4 份；⑨＝滿足特定條件（不花紀錄）。</t>
        </is>
      </c>
    </row>
    <row r="4">
      <c r="A4" s="2" t="inlineStr">
        <is>
          <t>⇒ ①～⑧ 全亮總共要 20 份。等級只負責「產出」紀錄。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1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海宣星 Nunki（被動）
獵手的戰吼發動時，可再次使用獵手的智慧。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秒，期間所有反擊攻擊力提升。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夢境破碎後的反擊增益期間，所有反擊攻擊力提升。</t>
        </is>
      </c>
      <c r="F6" s="7" t="inlineStr">
        <is>
          <t>箭頭星 Alnasl（被動）
獵手的戰吼發動條件由連續5盤完美清盤降低為3盤。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秒，期間所有反擊攻擊力提升。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1500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3800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7000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11500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17500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25500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36000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50000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2">
      <c r="A12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劇情合計</t>
        </is>
      </c>
      <c r="E1" s="3" t="inlineStr">
        <is>
          <t>Lv3 份數</t>
        </is>
      </c>
      <c r="F1" s="3" t="inlineStr">
        <is>
          <t>Lv3 顆</t>
        </is>
      </c>
      <c r="G1" s="3" t="inlineStr">
        <is>
          <t>Lv5 份數</t>
        </is>
      </c>
      <c r="H1" s="3" t="inlineStr">
        <is>
          <t>Lv5 顆</t>
        </is>
      </c>
      <c r="I1" s="3" t="inlineStr">
        <is>
          <t>Lv7 份數</t>
        </is>
      </c>
      <c r="J1" s="3" t="inlineStr">
        <is>
          <t>Lv7 顆</t>
        </is>
      </c>
      <c r="K1" s="3" t="inlineStr">
        <is>
          <t>Lv9 份數</t>
        </is>
      </c>
      <c r="L1" s="3" t="inlineStr">
        <is>
          <t>Lv9 顆</t>
        </is>
      </c>
      <c r="M1" s="3" t="inlineStr">
        <is>
          <t>評語</t>
        </is>
      </c>
    </row>
    <row r="2" ht="34" customHeight="1">
      <c r="A2" s="5" t="inlineStr">
        <is>
          <t>A 現值</t>
        </is>
      </c>
      <c r="B2" s="4" t="n">
        <v>1</v>
      </c>
      <c r="C2" s="4" t="n">
        <v>0</v>
      </c>
      <c r="D2" s="4" t="n">
        <v>0</v>
      </c>
      <c r="E2">
        <f>(3-1)*B2+FLOOR('升級與收入'!C4*參數!$B$4,1)*C2+0</f>
        <v/>
      </c>
      <c r="F2">
        <f>SUMPRODUCT(--(星價!$C$2:$C$9&lt;=E2))</f>
        <v/>
      </c>
      <c r="G2">
        <f>(5-1)*B2+FLOOR('升級與收入'!C6*參數!$B$4,1)*C2+0</f>
        <v/>
      </c>
      <c r="H2">
        <f>SUMPRODUCT(--(星價!$C$2:$C$9&lt;=G2))</f>
        <v/>
      </c>
      <c r="I2">
        <f>(7-1)*B2+FLOOR('升級與收入'!C8*參數!$B$4,1)*C2+0</f>
        <v/>
      </c>
      <c r="J2">
        <f>SUMPRODUCT(--(星價!$C$2:$C$9&lt;=I2))</f>
        <v/>
      </c>
      <c r="K2">
        <f>(9-1)*B2+FLOOR('升級與收入'!C10*參數!$B$4,1)*C2+D2</f>
        <v/>
      </c>
      <c r="L2">
        <f>SUMPRODUCT(--(星價!$C$2:$C$9&lt;=K2))</f>
        <v/>
      </c>
      <c r="M2" s="7" t="inlineStr">
        <is>
          <t>中階（Lv5）3 顆、滿級 4 顆：⑤ 以後幾乎摸不到，「選」變成「只能點前面」。</t>
        </is>
      </c>
    </row>
    <row r="3" ht="34" customHeight="1">
      <c r="A3" s="5" t="inlineStr">
        <is>
          <t>B 每級 2 份</t>
        </is>
      </c>
      <c r="B3" s="4" t="n">
        <v>2</v>
      </c>
      <c r="C3" s="4" t="n">
        <v>0</v>
      </c>
      <c r="D3" s="4" t="n">
        <v>0</v>
      </c>
      <c r="E3">
        <f>(3-1)*B3+FLOOR('升級與收入'!C4*參數!$B$4,1)*C3+0</f>
        <v/>
      </c>
      <c r="F3">
        <f>SUMPRODUCT(--(星價!$C$2:$C$9&lt;=E3))</f>
        <v/>
      </c>
      <c r="G3">
        <f>(5-1)*B3+FLOOR('升級與收入'!C6*參數!$B$4,1)*C3+0</f>
        <v/>
      </c>
      <c r="H3">
        <f>SUMPRODUCT(--(星價!$C$2:$C$9&lt;=G3))</f>
        <v/>
      </c>
      <c r="I3">
        <f>(7-1)*B3+FLOOR('升級與收入'!C8*參數!$B$4,1)*C3+0</f>
        <v/>
      </c>
      <c r="J3">
        <f>SUMPRODUCT(--(星價!$C$2:$C$9&lt;=I3))</f>
        <v/>
      </c>
      <c r="K3">
        <f>(9-1)*B3+FLOOR('升級與收入'!C10*參數!$B$4,1)*C3+D3</f>
        <v/>
      </c>
      <c r="L3">
        <f>SUMPRODUCT(--(星價!$C$2:$C$9&lt;=K3))</f>
        <v/>
      </c>
      <c r="M3" s="7" t="inlineStr">
        <is>
          <t>中階 4 顆、滿級 7 顆：⑧ 要靠劇情或條件補。</t>
        </is>
      </c>
    </row>
    <row r="4" ht="34" customHeight="1">
      <c r="A4" s="5" t="inlineStr">
        <is>
          <t>C 每級 2 份＋Boss 1 份</t>
        </is>
      </c>
      <c r="B4" s="4" t="n">
        <v>2</v>
      </c>
      <c r="C4" s="4" t="n">
        <v>1</v>
      </c>
      <c r="D4" s="4" t="n">
        <v>0</v>
      </c>
      <c r="E4">
        <f>(3-1)*B4+FLOOR('升級與收入'!C4*參數!$B$4,1)*C4+0</f>
        <v/>
      </c>
      <c r="F4">
        <f>SUMPRODUCT(--(星價!$C$2:$C$9&lt;=E4))</f>
        <v/>
      </c>
      <c r="G4">
        <f>(5-1)*B4+FLOOR('升級與收入'!C6*參數!$B$4,1)*C4+0</f>
        <v/>
      </c>
      <c r="H4">
        <f>SUMPRODUCT(--(星價!$C$2:$C$9&lt;=G4))</f>
        <v/>
      </c>
      <c r="I4">
        <f>(7-1)*B4+FLOOR('升級與收入'!C8*參數!$B$4,1)*C4+0</f>
        <v/>
      </c>
      <c r="J4">
        <f>SUMPRODUCT(--(星價!$C$2:$C$9&lt;=I4))</f>
        <v/>
      </c>
      <c r="K4">
        <f>(9-1)*B4+FLOOR('升級與收入'!C10*參數!$B$4,1)*C4+D4</f>
        <v/>
      </c>
      <c r="L4">
        <f>SUMPRODUCT(--(星價!$C$2:$C$9&lt;=K4))</f>
        <v/>
      </c>
      <c r="M4" s="7" t="inlineStr">
        <is>
          <t>Lv5 就 6 顆、Lv7 全亮：Boss 越多的路線越快（變成鼓勵刷 Boss）。</t>
        </is>
      </c>
    </row>
    <row r="5" ht="34" customHeight="1">
      <c r="A5" s="9" t="inlineStr">
        <is>
          <t>D 每級 2 份＋劇情 4 份</t>
        </is>
      </c>
      <c r="B5" s="4" t="n">
        <v>2</v>
      </c>
      <c r="C5" s="4" t="n">
        <v>0</v>
      </c>
      <c r="D5" s="4" t="n">
        <v>4</v>
      </c>
      <c r="E5" s="10">
        <f>(3-1)*B5+FLOOR('升級與收入'!C4*參數!$B$4,1)*C5+0</f>
        <v/>
      </c>
      <c r="F5" s="10">
        <f>SUMPRODUCT(--(星價!$C$2:$C$9&lt;=E5))</f>
        <v/>
      </c>
      <c r="G5" s="10">
        <f>(5-1)*B5+FLOOR('升級與收入'!C6*參數!$B$4,1)*C5+0</f>
        <v/>
      </c>
      <c r="H5" s="10">
        <f>SUMPRODUCT(--(星價!$C$2:$C$9&lt;=G5))</f>
        <v/>
      </c>
      <c r="I5" s="10">
        <f>(7-1)*B5+FLOOR('升級與收入'!C8*參數!$B$4,1)*C5+0</f>
        <v/>
      </c>
      <c r="J5" s="10">
        <f>SUMPRODUCT(--(星價!$C$2:$C$9&lt;=I5))</f>
        <v/>
      </c>
      <c r="K5" s="10">
        <f>(9-1)*B5+FLOOR('升級與收入'!C10*參數!$B$4,1)*C5+D5</f>
        <v/>
      </c>
      <c r="L5" s="10">
        <f>SUMPRODUCT(--(星價!$C$2:$C$9&lt;=K5))</f>
        <v/>
      </c>
      <c r="M5" s="11" t="inlineStr">
        <is>
          <t>【建議】中階 4 顆可選、主線打完剛好 ①～⑧ 全亮（20 份）；進度由劇情控，不靠刷。</t>
        </is>
      </c>
    </row>
    <row r="6" ht="34" customHeight="1">
      <c r="A6" s="5" t="inlineStr">
        <is>
          <t>E 每級 3 份</t>
        </is>
      </c>
      <c r="B6" s="4" t="n">
        <v>3</v>
      </c>
      <c r="C6" s="4" t="n">
        <v>0</v>
      </c>
      <c r="D6" s="4" t="n">
        <v>0</v>
      </c>
      <c r="E6">
        <f>(3-1)*B6+FLOOR('升級與收入'!C4*參數!$B$4,1)*C6+0</f>
        <v/>
      </c>
      <c r="F6">
        <f>SUMPRODUCT(--(星價!$C$2:$C$9&lt;=E6))</f>
        <v/>
      </c>
      <c r="G6">
        <f>(5-1)*B6+FLOOR('升級與收入'!C6*參數!$B$4,1)*C6+0</f>
        <v/>
      </c>
      <c r="H6">
        <f>SUMPRODUCT(--(星價!$C$2:$C$9&lt;=G6))</f>
        <v/>
      </c>
      <c r="I6">
        <f>(7-1)*B6+FLOOR('升級與收入'!C8*參數!$B$4,1)*C6+0</f>
        <v/>
      </c>
      <c r="J6">
        <f>SUMPRODUCT(--(星價!$C$2:$C$9&lt;=I6))</f>
        <v/>
      </c>
      <c r="K6">
        <f>(9-1)*B6+FLOOR('升級與收入'!C10*參數!$B$4,1)*C6+D6</f>
        <v/>
      </c>
      <c r="L6">
        <f>SUMPRODUCT(--(星價!$C$2:$C$9&lt;=K6))</f>
        <v/>
      </c>
      <c r="M6" s="7" t="inlineStr">
        <is>
          <t>Lv5 就 6 顆、Lv9 全亮：太快，⑦⑧ 的強力循環會在中段就出現。</t>
        </is>
      </c>
    </row>
    <row r="9">
      <c r="A9" s="8" t="inlineStr">
        <is>
          <t>⚠ 劇情合計只算進 Lv9 那一欄（假設劇情份數大多在後段給）；要看中段就把一部分改成 Boss 或每級。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免死組：①先鋒 ＋ ②引路 ＋ ④堅殼 ＋ ⑦蟹生</t>
        </is>
      </c>
      <c r="C2" s="12" t="inlineStr">
        <is>
          <t>1+1+2+4＝8</t>
        </is>
      </c>
      <c r="D2" s="12" t="inlineStr">
        <is>
          <t>天鎖每隻怪一次（⑦）＋天鎖十秒內射擊回血（④）＋失誤一次不受擊（②）。方案 D 約 Lv5 就湊得齊（不必改排列）。聖徒化那一路（⑥斷鉗＋⑧負行，7 份）是後期上限：一場一次、幾乎穩出 MB。</t>
        </is>
      </c>
      <c r="E2" s="12" t="inlineStr">
        <is>
          <t>低。⚠ 單體 Boss 只有一場 ⇒ ⑦蟹生在 Boss 戰沒有作用，手殘玩家在 Boss 前只有「一次免死＋回血」。</t>
        </is>
      </c>
      <c r="F2" s="12" t="inlineStr">
        <is>
          <t>【Ray 方向：早期穩定不死】要在 Boss 戰也「穩定」，④堅殼的回血是關鍵（已在 2 份的位置）；若還不夠，可讓天鎖在同一場有第二次（例如 ⑦ 改成「每一場兩次」）或把回血比例提高。</t>
        </is>
      </c>
    </row>
    <row r="3" ht="78" customHeight="1">
      <c r="A3" s="12" t="inlineStr">
        <is>
          <t>安雅</t>
        </is>
      </c>
      <c r="B3" s="12" t="inlineStr">
        <is>
          <t>③烙印 ＋ ⑥前引 ＋ ⑧界心</t>
        </is>
      </c>
      <c r="C3" s="12" t="inlineStr">
        <is>
          <t>2+3+4＝9</t>
        </is>
      </c>
      <c r="D3" s="12" t="inlineStr">
        <is>
          <t>回填改成下一場之後，③烙印只在連戰有用；Boss 戰一場只有一發夢境粉碎（20%，⑧ 之後 30%）。</t>
        </is>
      </c>
      <c r="E3" s="12" t="inlineStr">
        <is>
          <t>中→低（-1775 之前是最高）。連戰清雜怪時仍強：粉碎打死＝處決＝下一隻又能開夢魘化，可以一路串。</t>
        </is>
      </c>
      <c r="F3" s="12" t="inlineStr">
        <is>
          <t>已大致平衡。要再收只收連戰：例如粉碎處決不賺回發動（只留烙印星那條路）。</t>
        </is>
      </c>
    </row>
    <row r="4" ht="78" customHeight="1">
      <c r="A4" s="12" t="inlineStr">
        <is>
          <t>索菈娜</t>
        </is>
      </c>
      <c r="B4" s="12" t="inlineStr">
        <is>
          <t>②海宣 ＋ ⑤箭頭 ＋ ⑦聚落 ＋ ①地弓</t>
        </is>
      </c>
      <c r="C4" s="12" t="inlineStr">
        <is>
          <t>1+3+4+1＝9</t>
        </is>
      </c>
      <c r="D4" s="12" t="inlineStr">
        <is>
          <t>⑦聚落讓共鬥同一場可以再開，但共鬥**消耗全部破防值**、時長＝12 秒×破防值/100（最低 3 秒），期間普攻回充只有一半 ⇒ 連開的無敵時間被破防值總量封頂，而那正是彈雨的輸出來源。</t>
        </is>
      </c>
      <c r="E4" s="12" t="inlineStr">
        <is>
          <t>低（Ray 的設計，-1775 後確認）：連開共鬥＝輸出下降、局變長，而她的評價時間係數是 650（別人 400）⇒ 必定低評（錢是敵 HP×等第%，D 只拿 50%）。低評反而給她較多 EXP 與好感 —— 那是她「打得爛也開心」的性格，是取捨不是漏洞。</t>
        </is>
      </c>
      <c r="F4" s="12" t="inlineStr">
        <is>
          <t>不改。⚠ 唯一要留意：保守玩法會讓她升得最快（EXP 反向），如果不想她領先太多，調的是 EXP 而不是共鬥。</t>
        </is>
      </c>
    </row>
    <row r="6">
      <c r="A6" s="5" t="inlineStr">
        <is>
          <t>結論</t>
        </is>
      </c>
    </row>
    <row r="7" ht="60" customHeight="1">
      <c r="A7" s="7" t="inlineStr">
        <is>
          <t>前提（ver -1775）：聖徒化／夢魘化一場限一次，回填一律下一場才生效；星不用等級鎖，價格 1/1/2/2/3/3/4/4＋⑨條件。⇒ 單體 Boss 戰三人都只有「一次變身」，差距回到技能本身；安雅的便宜強星（③烙印）只剩連戰價值。索菈娜 ⑦聚落雖然同一場能再開共鬥，但被破防值總量與評價係數 650 綁住（連開＝必定低評），Ray 定為刻意的取捨，不改。諾薇兒的免死組在方案 D 約 Lv5 可成形，但 Boss 戰只有一次免死。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2026-09-26T17:09:09Z</dcterms:created>
  <dcterms:modified xmlns:dcterms="http://purl.org/dc/terms/" xmlns:xsi="http://www.w3.org/2001/XMLSchema-instance" xsi:type="dcterms:W3CDTF">2026-09-26T17:09:09Z</dcterms:modified>
</cp:coreProperties>
</file>