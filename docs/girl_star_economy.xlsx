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星價" sheetId="3" state="visible" r:id="rId3"/>
    <sheet xmlns:r="http://schemas.openxmlformats.org/officeDocument/2006/relationships" name="升級與收入" sheetId="4" state="visible" r:id="rId4"/>
    <sheet xmlns:r="http://schemas.openxmlformats.org/officeDocument/2006/relationships" name="方案比較" sheetId="5" state="visible" r:id="rId5"/>
    <sheet xmlns:r="http://schemas.openxmlformats.org/officeDocument/2006/relationships" name="失衡分析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2B3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女主九星・戰鬥紀錄經濟試算（ver -1774 草稿）</t>
        </is>
      </c>
    </row>
    <row r="2">
      <c r="A2" s="2" t="inlineStr"/>
    </row>
    <row r="3">
      <c r="A3" s="2" t="inlineStr">
        <is>
          <t>規則（Ray 定案）：星不再用等級鎖。①② 各 1 份、③④ 各 2 份、⑤⑥ 各 3 份、⑦⑧ 各 4 份；⑨＝滿足特定條件（不花紀錄）。</t>
        </is>
      </c>
    </row>
    <row r="4">
      <c r="A4" s="2" t="inlineStr">
        <is>
          <t>⇒ ①～⑧ 全亮總共要 20 份。等級只負責「產出」紀錄。</t>
        </is>
      </c>
    </row>
    <row r="5">
      <c r="A5" s="2" t="inlineStr"/>
    </row>
    <row r="6">
      <c r="A6" s="2" t="inlineStr">
        <is>
          <t>黃底格子＝可以改的旋鈕，其餘都是公式，改了會自己重算。</t>
        </is>
      </c>
    </row>
    <row r="7">
      <c r="A7" s="2" t="inlineStr">
        <is>
          <t>「參數」：收入的來源（每升一級幾份、Boss 局額外幾份、劇情固定給幾份）與一局的平均分數。</t>
        </is>
      </c>
    </row>
    <row r="8">
      <c r="A8" s="2" t="inlineStr">
        <is>
          <t>「星價」：三人九顆星的價格與累計成本（價格照 Ray 的規則，改了這裡要回寫 config.js）。</t>
        </is>
      </c>
    </row>
    <row r="9">
      <c r="A9" s="2" t="inlineStr">
        <is>
          <t>「升級與收入」：每一級要打幾局、那時手上累計幾份、依價格由便宜到貴能點幾顆。</t>
        </is>
      </c>
    </row>
    <row r="10">
      <c r="A10" s="2" t="inlineStr">
        <is>
          <t>「方案比較」：幾組收入設定並排，看 Lv3／Lv5／Lv7／Lv9 各能點幾顆。綠底＝我的建議。</t>
        </is>
      </c>
    </row>
    <row r="11">
      <c r="A11" s="2" t="inlineStr">
        <is>
          <t>「失衡分析」：同樣的紀錄量，三個人各自「最強的買法」是什麼、哪幾顆太便宜。</t>
        </is>
      </c>
    </row>
    <row r="12">
      <c r="A12" s="2" t="inlineStr"/>
    </row>
    <row r="13">
      <c r="A13" s="2" t="inlineStr">
        <is>
          <t>⚠ 局數用的是「平均分數」的單一估值；實際一局 EXP 還有 overkill 與分數微擾。拿來比較方案夠用，不要拿來算精確進度。</t>
        </is>
      </c>
    </row>
    <row r="14">
      <c r="A14" s="2" t="inlineStr">
        <is>
          <t>⚠ 索菈娜的 EXP 方向相反（分數越低 EXP 越高，config 的 invertFor），所以同樣的分數她升得不一樣快。</t>
        </is>
      </c>
    </row>
    <row r="15">
      <c r="A15" s="2" t="inlineStr">
        <is>
          <t>重產這份表：python3 tools/girl_star_economy.py（星名與效果從 config.js 現讀）。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50" customWidth="1" min="4" max="4"/>
  </cols>
  <sheetData>
    <row r="1">
      <c r="A1" s="3" t="inlineStr">
        <is>
          <t>旋鈕</t>
        </is>
      </c>
      <c r="B1" s="3" t="inlineStr">
        <is>
          <t>值</t>
        </is>
      </c>
      <c r="C1" s="3" t="inlineStr">
        <is>
          <t>代號</t>
        </is>
      </c>
      <c r="D1" s="3" t="inlineStr">
        <is>
          <t>說明</t>
        </is>
      </c>
    </row>
    <row r="2">
      <c r="A2" t="inlineStr">
        <is>
          <t>每升一級給幾份《戰鬥紀錄》</t>
        </is>
      </c>
      <c r="B2" s="4" t="n">
        <v>1</v>
      </c>
      <c r="C2" t="inlineStr">
        <is>
          <t>r</t>
        </is>
      </c>
      <c r="D2" t="inlineStr">
        <is>
          <t>config.girls.recordPerLevel（現值）</t>
        </is>
      </c>
    </row>
    <row r="3">
      <c r="A3" t="inlineStr">
        <is>
          <t>Boss 局結算額外給幾份</t>
        </is>
      </c>
      <c r="B3" s="4" t="n">
        <v>0</v>
      </c>
      <c r="C3" t="inlineStr">
        <is>
          <t>boss</t>
        </is>
      </c>
      <c r="D3" t="inlineStr">
        <is>
          <t>現在沒有這條來源；想加就填</t>
        </is>
      </c>
    </row>
    <row r="4">
      <c r="A4" t="inlineStr">
        <is>
          <t>Boss 局佔全部局數的比例</t>
        </is>
      </c>
      <c r="B4" s="4" t="n">
        <v>0.3</v>
      </c>
      <c r="C4" t="inlineStr">
        <is>
          <t>pboss</t>
        </is>
      </c>
      <c r="D4" t="inlineStr">
        <is>
          <t>估值：北泊／森林／遺蹟／古城的收段多半是 Boss</t>
        </is>
      </c>
    </row>
    <row r="5">
      <c r="A5" t="inlineStr">
        <is>
          <t>劇情固定給（整趟主線合計）</t>
        </is>
      </c>
      <c r="B5" s="4" t="n">
        <v>0</v>
      </c>
      <c r="C5" t="inlineStr">
        <is>
          <t>story</t>
        </is>
      </c>
      <c r="D5" t="inlineStr">
        <is>
          <t>例：每章收尾給一份就填章數</t>
        </is>
      </c>
    </row>
    <row r="6">
      <c r="A6" t="inlineStr">
        <is>
          <t>平均一局分數（諾薇兒／安雅）</t>
        </is>
      </c>
      <c r="B6" s="4" t="n">
        <v>60</v>
      </c>
      <c r="C6" t="inlineStr">
        <is>
          <t>score</t>
        </is>
      </c>
      <c r="D6" t="inlineStr">
        <is>
          <t>B 等約 50~64</t>
        </is>
      </c>
    </row>
    <row r="7">
      <c r="A7" t="inlineStr">
        <is>
          <t>平均一局分數（索菈娜）</t>
        </is>
      </c>
      <c r="B7" s="4" t="n">
        <v>60</v>
      </c>
      <c r="C7" t="inlineStr">
        <is>
          <t>score_s</t>
        </is>
      </c>
      <c r="D7" t="inlineStr">
        <is>
          <t>她的 EXP 用 100−分數 算</t>
        </is>
      </c>
    </row>
    <row r="8">
      <c r="A8" t="inlineStr">
        <is>
          <t>EXP 基底 offset</t>
        </is>
      </c>
      <c r="B8" s="4" t="n">
        <v>137</v>
      </c>
      <c r="C8" t="inlineStr">
        <is>
          <t>off</t>
        </is>
      </c>
      <c r="D8" t="inlineStr">
        <is>
          <t>config.rating.exp.offset</t>
        </is>
      </c>
    </row>
    <row r="9">
      <c r="A9" t="inlineStr">
        <is>
          <t>EXP 倍率 mult</t>
        </is>
      </c>
      <c r="B9" s="4" t="n">
        <v>8.699999999999999</v>
      </c>
      <c r="C9" t="inlineStr">
        <is>
          <t>mult</t>
        </is>
      </c>
      <c r="D9" t="inlineStr">
        <is>
          <t>config.rating.exp.mult</t>
        </is>
      </c>
    </row>
    <row r="10">
      <c r="A10" t="inlineStr">
        <is>
          <t>Boss EXP 倍率</t>
        </is>
      </c>
      <c r="B10" s="4" t="n">
        <v>2</v>
      </c>
      <c r="C10" t="inlineStr">
        <is>
          <t>bmul</t>
        </is>
      </c>
      <c r="D10" t="inlineStr">
        <is>
          <t>config.rating.bossMul.exp</t>
        </is>
      </c>
    </row>
    <row r="12">
      <c r="A12" s="5" t="inlineStr">
        <is>
          <t>一局平均 EXP（諾／安）</t>
        </is>
      </c>
      <c r="B12">
        <f>(參數!$B$8+參數!$B$6*參數!$B$9)*(1-參數!$B$4+參數!$B$4*參數!$B$10)</f>
        <v/>
      </c>
    </row>
    <row r="13">
      <c r="A13" s="5" t="inlineStr">
        <is>
          <t>一局平均 EXP（索菈娜）</t>
        </is>
      </c>
      <c r="B13">
        <f>(參數!$B$8+(100-參數!$B$7)*參數!$B$9)*(1-參數!$B$4+參數!$B$4*參數!$B$10)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44" customWidth="1" min="4" max="4"/>
    <col width="44" customWidth="1" min="5" max="5"/>
    <col width="44" customWidth="1" min="6" max="6"/>
  </cols>
  <sheetData>
    <row r="1">
      <c r="A1" s="3" t="inlineStr">
        <is>
          <t>序</t>
        </is>
      </c>
      <c r="B1" s="3" t="inlineStr">
        <is>
          <t>價格（份）</t>
        </is>
      </c>
      <c r="C1" s="3" t="inlineStr">
        <is>
          <t>累計（依序）</t>
        </is>
      </c>
      <c r="D1" s="3" t="inlineStr">
        <is>
          <t>諾薇兒</t>
        </is>
      </c>
      <c r="E1" s="3" t="inlineStr">
        <is>
          <t>安雅</t>
        </is>
      </c>
      <c r="F1" s="3" t="inlineStr">
        <is>
          <t>索菈娜</t>
        </is>
      </c>
    </row>
    <row r="2" ht="62" customHeight="1">
      <c r="A2" s="6" t="inlineStr">
        <is>
          <t>★1</t>
        </is>
      </c>
      <c r="B2" s="4" t="n">
        <v>1</v>
      </c>
      <c r="C2">
        <f>SUM($B$2:B2)</f>
        <v/>
      </c>
      <c r="D2" s="7" t="inlineStr">
        <is>
          <t>先鋒星 Guisuer（變身）
聖徒化的連擊疊傷提升至 150%。</t>
        </is>
      </c>
      <c r="E2" s="7" t="inlineStr">
        <is>
          <t>拳鬥者星 Pollux（變身）
夢魘化期間反擊攻擊力提升至 120%。</t>
        </is>
      </c>
      <c r="F2" s="7" t="inlineStr">
        <is>
          <t>地弓星 Kaus Australis（主動）
彈雨傾洩的攻擊力提升至 120%。</t>
        </is>
      </c>
    </row>
    <row r="3" ht="62" customHeight="1">
      <c r="A3" s="6" t="inlineStr">
        <is>
          <t>★2</t>
        </is>
      </c>
      <c r="B3" s="4" t="n">
        <v>1</v>
      </c>
      <c r="C3">
        <f>SUM($B$2:B3)</f>
        <v/>
      </c>
      <c r="D3" s="7" t="inlineStr">
        <is>
          <t>引路星 Asellus Borealis（變身）
失誤一次不受擊，點擊正確就重置。並在聖徒化期間全程指引下一格。</t>
        </is>
      </c>
      <c r="E3" s="7" t="inlineStr">
        <is>
          <t>築壩者星 Castor（主動）
夢境破碎發動後追加 10 秒反擊增益，並全程指引下一格。</t>
        </is>
      </c>
      <c r="F3" s="7" t="inlineStr">
        <is>
          <t>海宣星 Nunki（被動）
獵手的戰吼發動時，可再次使用獵手的智慧。</t>
        </is>
      </c>
    </row>
    <row r="4" ht="62" customHeight="1">
      <c r="A4" s="6" t="inlineStr">
        <is>
          <t>★3</t>
        </is>
      </c>
      <c r="B4" s="4" t="n">
        <v>2</v>
      </c>
      <c r="C4">
        <f>SUM($B$2:B4)</f>
        <v/>
      </c>
      <c r="D4" s="7" t="inlineStr">
        <is>
          <t>探覓星 Nahn（主動）
發動彈雨傾洩可回復魂之歸所的使用次數。</t>
        </is>
      </c>
      <c r="E4" s="7" t="inlineStr">
        <is>
          <t>烙印星 Alhena（變身）
連續三次完美反擊即回復夢魘化熔斷；同場戰鬥內不可連續使用。同戰役的次場戰鬥生效。</t>
        </is>
      </c>
      <c r="F4" s="7" t="inlineStr">
        <is>
          <t>曳弦星 Ascella（主動）
獵手的智慧發動後追加 10 秒破防值累積量 200%。</t>
        </is>
      </c>
    </row>
    <row r="5" ht="62" customHeight="1">
      <c r="A5" s="6" t="inlineStr">
        <is>
          <t>★4</t>
        </is>
      </c>
      <c r="B5" s="4" t="n">
        <v>2</v>
      </c>
      <c r="C5">
        <f>SUM($B$2:B5)</f>
        <v/>
      </c>
      <c r="D5" s="7" t="inlineStr">
        <is>
          <t>堅殼星 Tegmine（被動）
獄門天鎖的十秒免傷期間，每次射擊回復最大體力 5%。反擊一次算一發，聖徒化期間不作動。</t>
        </is>
      </c>
      <c r="E5" s="7" t="inlineStr">
        <is>
          <t>赤足星 Tejat（被動）
明晰之夢延長為 10 秒，期間所有反擊攻擊力提升。</t>
        </is>
      </c>
      <c r="F5" s="7" t="inlineStr">
        <is>
          <t>獵弓星 Kaus Media（變身）
獵手的共鬥期間，自動反擊威力提升 50%。</t>
        </is>
      </c>
    </row>
    <row r="6" ht="62" customHeight="1">
      <c r="A6" s="6" t="inlineStr">
        <is>
          <t>★5</t>
        </is>
      </c>
      <c r="B6" s="4" t="n">
        <v>3</v>
      </c>
      <c r="C6">
        <f>SUM($B$2:B6)</f>
        <v/>
      </c>
      <c r="D6" s="7" t="inlineStr">
        <is>
          <t>端首星 Guisuyi（變身）
單場無傷擊殺即回復聖徒化熔斷；同場戰鬥內不可連續使用。同戰役的次場戰鬥生效。</t>
        </is>
      </c>
      <c r="E6" s="7" t="inlineStr">
        <is>
          <t>赤爪星 Mebsuta（主動）
夢境破碎後的反擊增益期間，所有反擊攻擊力提升。</t>
        </is>
      </c>
      <c r="F6" s="7" t="inlineStr">
        <is>
          <t>箭頭星 Alnasl（被動）
獵手的戰吼發動條件由連續5盤完美清盤降低為3盤。</t>
        </is>
      </c>
    </row>
    <row r="7" ht="62" customHeight="1">
      <c r="A7" s="6" t="inlineStr">
        <is>
          <t>★6</t>
        </is>
      </c>
      <c r="B7" s="4" t="n">
        <v>3</v>
      </c>
      <c r="C7">
        <f>SUM($B$2:B7)</f>
        <v/>
      </c>
      <c r="D7" s="7" t="inlineStr">
        <is>
          <t>斷鉗星 Acubens（變身）
聖徒化時體力降至 1。</t>
        </is>
      </c>
      <c r="E7" s="7" t="inlineStr">
        <is>
          <t>前引星 Propus（變身）
夢魘化發動時體力先回滿，發動時間最大化。</t>
        </is>
      </c>
      <c r="F7" s="7" t="inlineStr">
        <is>
          <t>天弓星 Kaus Borealis（變身）
獵手的共鬥期間，自動反擊威力再提升 100%。</t>
        </is>
      </c>
    </row>
    <row r="8" ht="62" customHeight="1">
      <c r="A8" s="6" t="inlineStr">
        <is>
          <t>★7</t>
        </is>
      </c>
      <c r="B8" s="4" t="n">
        <v>4</v>
      </c>
      <c r="C8">
        <f>SUM($B$2:B8)</f>
        <v/>
      </c>
      <c r="D8" s="7" t="inlineStr">
        <is>
          <t>蟹生星 Yuyu（被動）
獄門天鎖於同場戰役內的每一場戰鬥都可發動一次。</t>
        </is>
      </c>
      <c r="E8" s="7" t="inlineStr">
        <is>
          <t>鐵蹄星 Alzirr（被動）
明晰之夢延長為 15 秒，期間所有反擊攻擊力提升。</t>
        </is>
      </c>
      <c r="F8" s="7" t="inlineStr">
        <is>
          <t>聚落星 Albaldah（主動）
主動技發動同時回填獵手的共鬥。同一場戰鬥可連續使用。</t>
        </is>
      </c>
    </row>
    <row r="9" ht="62" customHeight="1">
      <c r="A9" s="6" t="inlineStr">
        <is>
          <t>★8</t>
        </is>
      </c>
      <c r="B9" s="4" t="n">
        <v>4</v>
      </c>
      <c r="C9">
        <f>SUM($B$2:B9)</f>
        <v/>
      </c>
      <c r="D9" s="7" t="inlineStr">
        <is>
          <t>負行星 Asellus Australis（變身）
聖徒化時間不受到敵方攻擊減少。</t>
        </is>
      </c>
      <c r="E9" s="7" t="inlineStr">
        <is>
          <t>界心星 Wasat（主動）
夢境破碎若在夢魘化期間最後一格時發動，一次給與敵人最大體力的 30% 傷害。</t>
        </is>
      </c>
      <c r="F9" s="7" t="inlineStr">
        <is>
          <t>射手星 Eta Sagittarii（變身）
獵手的共鬥最大持續時間延長。</t>
        </is>
      </c>
    </row>
    <row r="10" ht="62" customHeight="1">
      <c r="A10" s="6" t="inlineStr">
        <is>
          <t>★9</t>
        </is>
      </c>
      <c r="B10" t="inlineStr">
        <is>
          <t>條件</t>
        </is>
      </c>
      <c r="C10" t="inlineStr">
        <is>
          <t>—</t>
        </is>
      </c>
      <c r="D10" s="7" t="inlineStr">
        <is>
          <t>終焉星 Tarf（變身）
聖徒化期間的攻擊可小幅延長爆發時間。</t>
        </is>
      </c>
      <c r="E10" s="7" t="inlineStr">
        <is>
          <t>孿生星 κ Geminorum（變身）
夢魘化期間發動反擊先消耗破防計，破防計耗盡才開始消耗體力。</t>
        </is>
      </c>
      <c r="F10" s="7" t="inlineStr">
        <is>
          <t>獵手星 Phi Sagittarii（變身）
獵手的共鬥期間可累積之破防值，延長爆發時間。</t>
        </is>
      </c>
    </row>
    <row r="12">
      <c r="A12" s="5" t="inlineStr">
        <is>
          <t>①～⑧ 合計</t>
        </is>
      </c>
      <c r="B12" s="5">
        <f>SUM(B2:B9)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1">
      <c r="A1" s="3" t="inlineStr">
        <is>
          <t>等級</t>
        </is>
      </c>
      <c r="B1" s="3" t="inlineStr">
        <is>
          <t>累計 EXP 門檻</t>
        </is>
      </c>
      <c r="C1" s="3" t="inlineStr">
        <is>
          <t>局數（諾／安）</t>
        </is>
      </c>
      <c r="D1" s="3" t="inlineStr">
        <is>
          <t>局數（索菈娜）</t>
        </is>
      </c>
      <c r="E1" s="3" t="inlineStr">
        <is>
          <t>升級給的份數（累計）</t>
        </is>
      </c>
      <c r="F1" s="3" t="inlineStr">
        <is>
          <t>Boss 局額外（諾／安）</t>
        </is>
      </c>
      <c r="G1" s="3" t="inlineStr">
        <is>
          <t>手上合計（諾／安）</t>
        </is>
      </c>
      <c r="H1" s="3" t="inlineStr">
        <is>
          <t>能點幾顆（諾／安）</t>
        </is>
      </c>
      <c r="I1" s="3" t="inlineStr">
        <is>
          <t>手上合計（索）</t>
        </is>
      </c>
      <c r="J1" s="3" t="inlineStr">
        <is>
          <t>能點幾顆（索）</t>
        </is>
      </c>
    </row>
    <row r="2">
      <c r="A2" s="6" t="n">
        <v>1</v>
      </c>
      <c r="B2" t="n">
        <v>0</v>
      </c>
      <c r="C2">
        <f>ROUND(B2/參數!$B$12,1)</f>
        <v/>
      </c>
      <c r="D2">
        <f>ROUND(B2/參數!$B$13,1)</f>
        <v/>
      </c>
      <c r="E2">
        <f>(A2-1)*參數!$B$2</f>
        <v/>
      </c>
      <c r="F2">
        <f>FLOOR(C2*參數!$B$4,1)*參數!$B$3</f>
        <v/>
      </c>
      <c r="G2">
        <f>E2+F2</f>
        <v/>
      </c>
      <c r="H2">
        <f>SUMPRODUCT(--(星價!$C$2:$C$9&lt;=G2))</f>
        <v/>
      </c>
      <c r="I2">
        <f>E2+FLOOR(D2*參數!$B$4,1)*參數!$B$3</f>
        <v/>
      </c>
      <c r="J2">
        <f>SUMPRODUCT(--(星價!$C$2:$C$9&lt;=I2))</f>
        <v/>
      </c>
    </row>
    <row r="3">
      <c r="A3" s="6" t="n">
        <v>2</v>
      </c>
      <c r="B3" t="n">
        <v>1500</v>
      </c>
      <c r="C3">
        <f>ROUND(B3/參數!$B$12,1)</f>
        <v/>
      </c>
      <c r="D3">
        <f>ROUND(B3/參數!$B$13,1)</f>
        <v/>
      </c>
      <c r="E3">
        <f>(A3-1)*參數!$B$2</f>
        <v/>
      </c>
      <c r="F3">
        <f>FLOOR(C3*參數!$B$4,1)*參數!$B$3</f>
        <v/>
      </c>
      <c r="G3">
        <f>E3+F3</f>
        <v/>
      </c>
      <c r="H3">
        <f>SUMPRODUCT(--(星價!$C$2:$C$9&lt;=G3))</f>
        <v/>
      </c>
      <c r="I3">
        <f>E3+FLOOR(D3*參數!$B$4,1)*參數!$B$3</f>
        <v/>
      </c>
      <c r="J3">
        <f>SUMPRODUCT(--(星價!$C$2:$C$9&lt;=I3))</f>
        <v/>
      </c>
    </row>
    <row r="4">
      <c r="A4" s="6" t="n">
        <v>3</v>
      </c>
      <c r="B4" t="n">
        <v>3800</v>
      </c>
      <c r="C4">
        <f>ROUND(B4/參數!$B$12,1)</f>
        <v/>
      </c>
      <c r="D4">
        <f>ROUND(B4/參數!$B$13,1)</f>
        <v/>
      </c>
      <c r="E4">
        <f>(A4-1)*參數!$B$2</f>
        <v/>
      </c>
      <c r="F4">
        <f>FLOOR(C4*參數!$B$4,1)*參數!$B$3</f>
        <v/>
      </c>
      <c r="G4">
        <f>E4+F4</f>
        <v/>
      </c>
      <c r="H4">
        <f>SUMPRODUCT(--(星價!$C$2:$C$9&lt;=G4))</f>
        <v/>
      </c>
      <c r="I4">
        <f>E4+FLOOR(D4*參數!$B$4,1)*參數!$B$3</f>
        <v/>
      </c>
      <c r="J4">
        <f>SUMPRODUCT(--(星價!$C$2:$C$9&lt;=I4))</f>
        <v/>
      </c>
    </row>
    <row r="5">
      <c r="A5" s="6" t="n">
        <v>4</v>
      </c>
      <c r="B5" t="n">
        <v>7000</v>
      </c>
      <c r="C5">
        <f>ROUND(B5/參數!$B$12,1)</f>
        <v/>
      </c>
      <c r="D5">
        <f>ROUND(B5/參數!$B$13,1)</f>
        <v/>
      </c>
      <c r="E5">
        <f>(A5-1)*參數!$B$2</f>
        <v/>
      </c>
      <c r="F5">
        <f>FLOOR(C5*參數!$B$4,1)*參數!$B$3</f>
        <v/>
      </c>
      <c r="G5">
        <f>E5+F5</f>
        <v/>
      </c>
      <c r="H5">
        <f>SUMPRODUCT(--(星價!$C$2:$C$9&lt;=G5))</f>
        <v/>
      </c>
      <c r="I5">
        <f>E5+FLOOR(D5*參數!$B$4,1)*參數!$B$3</f>
        <v/>
      </c>
      <c r="J5">
        <f>SUMPRODUCT(--(星價!$C$2:$C$9&lt;=I5))</f>
        <v/>
      </c>
    </row>
    <row r="6">
      <c r="A6" s="6" t="n">
        <v>5</v>
      </c>
      <c r="B6" t="n">
        <v>11500</v>
      </c>
      <c r="C6">
        <f>ROUND(B6/參數!$B$12,1)</f>
        <v/>
      </c>
      <c r="D6">
        <f>ROUND(B6/參數!$B$13,1)</f>
        <v/>
      </c>
      <c r="E6">
        <f>(A6-1)*參數!$B$2</f>
        <v/>
      </c>
      <c r="F6">
        <f>FLOOR(C6*參數!$B$4,1)*參數!$B$3</f>
        <v/>
      </c>
      <c r="G6">
        <f>E6+F6</f>
        <v/>
      </c>
      <c r="H6">
        <f>SUMPRODUCT(--(星價!$C$2:$C$9&lt;=G6))</f>
        <v/>
      </c>
      <c r="I6">
        <f>E6+FLOOR(D6*參數!$B$4,1)*參數!$B$3</f>
        <v/>
      </c>
      <c r="J6">
        <f>SUMPRODUCT(--(星價!$C$2:$C$9&lt;=I6))</f>
        <v/>
      </c>
    </row>
    <row r="7">
      <c r="A7" s="6" t="n">
        <v>6</v>
      </c>
      <c r="B7" t="n">
        <v>17500</v>
      </c>
      <c r="C7">
        <f>ROUND(B7/參數!$B$12,1)</f>
        <v/>
      </c>
      <c r="D7">
        <f>ROUND(B7/參數!$B$13,1)</f>
        <v/>
      </c>
      <c r="E7">
        <f>(A7-1)*參數!$B$2</f>
        <v/>
      </c>
      <c r="F7">
        <f>FLOOR(C7*參數!$B$4,1)*參數!$B$3</f>
        <v/>
      </c>
      <c r="G7">
        <f>E7+F7</f>
        <v/>
      </c>
      <c r="H7">
        <f>SUMPRODUCT(--(星價!$C$2:$C$9&lt;=G7))</f>
        <v/>
      </c>
      <c r="I7">
        <f>E7+FLOOR(D7*參數!$B$4,1)*參數!$B$3</f>
        <v/>
      </c>
      <c r="J7">
        <f>SUMPRODUCT(--(星價!$C$2:$C$9&lt;=I7))</f>
        <v/>
      </c>
    </row>
    <row r="8">
      <c r="A8" s="6" t="n">
        <v>7</v>
      </c>
      <c r="B8" t="n">
        <v>25500</v>
      </c>
      <c r="C8">
        <f>ROUND(B8/參數!$B$12,1)</f>
        <v/>
      </c>
      <c r="D8">
        <f>ROUND(B8/參數!$B$13,1)</f>
        <v/>
      </c>
      <c r="E8">
        <f>(A8-1)*參數!$B$2</f>
        <v/>
      </c>
      <c r="F8">
        <f>FLOOR(C8*參數!$B$4,1)*參數!$B$3</f>
        <v/>
      </c>
      <c r="G8">
        <f>E8+F8</f>
        <v/>
      </c>
      <c r="H8">
        <f>SUMPRODUCT(--(星價!$C$2:$C$9&lt;=G8))</f>
        <v/>
      </c>
      <c r="I8">
        <f>E8+FLOOR(D8*參數!$B$4,1)*參數!$B$3</f>
        <v/>
      </c>
      <c r="J8">
        <f>SUMPRODUCT(--(星價!$C$2:$C$9&lt;=I8))</f>
        <v/>
      </c>
    </row>
    <row r="9">
      <c r="A9" s="6" t="n">
        <v>8</v>
      </c>
      <c r="B9" t="n">
        <v>36000</v>
      </c>
      <c r="C9">
        <f>ROUND(B9/參數!$B$12,1)</f>
        <v/>
      </c>
      <c r="D9">
        <f>ROUND(B9/參數!$B$13,1)</f>
        <v/>
      </c>
      <c r="E9">
        <f>(A9-1)*參數!$B$2</f>
        <v/>
      </c>
      <c r="F9">
        <f>FLOOR(C9*參數!$B$4,1)*參數!$B$3</f>
        <v/>
      </c>
      <c r="G9">
        <f>E9+F9</f>
        <v/>
      </c>
      <c r="H9">
        <f>SUMPRODUCT(--(星價!$C$2:$C$9&lt;=G9))</f>
        <v/>
      </c>
      <c r="I9">
        <f>E9+FLOOR(D9*參數!$B$4,1)*參數!$B$3</f>
        <v/>
      </c>
      <c r="J9">
        <f>SUMPRODUCT(--(星價!$C$2:$C$9&lt;=I9))</f>
        <v/>
      </c>
    </row>
    <row r="10">
      <c r="A10" s="6" t="n">
        <v>9</v>
      </c>
      <c r="B10" t="n">
        <v>50000</v>
      </c>
      <c r="C10">
        <f>ROUND(B10/參數!$B$12,1)</f>
        <v/>
      </c>
      <c r="D10">
        <f>ROUND(B10/參數!$B$13,1)</f>
        <v/>
      </c>
      <c r="E10">
        <f>(A10-1)*參數!$B$2</f>
        <v/>
      </c>
      <c r="F10">
        <f>FLOOR(C10*參數!$B$4,1)*參數!$B$3</f>
        <v/>
      </c>
      <c r="G10">
        <f>E10+F10</f>
        <v/>
      </c>
      <c r="H10">
        <f>SUMPRODUCT(--(星價!$C$2:$C$9&lt;=G10))</f>
        <v/>
      </c>
      <c r="I10">
        <f>E10+FLOOR(D10*參數!$B$4,1)*參數!$B$3</f>
        <v/>
      </c>
      <c r="J10">
        <f>SUMPRODUCT(--(星價!$C$2:$C$9&lt;=I10))</f>
        <v/>
      </c>
    </row>
    <row r="12">
      <c r="A12" s="8" t="inlineStr">
        <is>
          <t>⚠ 「劇情固定給」沒有攤進逐級（不知道哪一章在哪一級），看「方案比較」那一頁的合計。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0" customWidth="1" min="4" max="4"/>
    <col width="9" customWidth="1" min="5" max="5"/>
    <col width="7" customWidth="1" min="6" max="6"/>
    <col width="9" customWidth="1" min="7" max="7"/>
    <col width="7" customWidth="1" min="8" max="8"/>
    <col width="9" customWidth="1" min="9" max="9"/>
    <col width="7" customWidth="1" min="10" max="10"/>
    <col width="9" customWidth="1" min="11" max="11"/>
    <col width="7" customWidth="1" min="12" max="12"/>
    <col width="60" customWidth="1" min="13" max="13"/>
  </cols>
  <sheetData>
    <row r="1">
      <c r="A1" s="3" t="inlineStr">
        <is>
          <t>方案</t>
        </is>
      </c>
      <c r="B1" s="3" t="inlineStr">
        <is>
          <t>每升一級</t>
        </is>
      </c>
      <c r="C1" s="3" t="inlineStr">
        <is>
          <t>Boss 局額外</t>
        </is>
      </c>
      <c r="D1" s="3" t="inlineStr">
        <is>
          <t>劇情合計</t>
        </is>
      </c>
      <c r="E1" s="3" t="inlineStr">
        <is>
          <t>Lv3 份數</t>
        </is>
      </c>
      <c r="F1" s="3" t="inlineStr">
        <is>
          <t>Lv3 顆</t>
        </is>
      </c>
      <c r="G1" s="3" t="inlineStr">
        <is>
          <t>Lv5 份數</t>
        </is>
      </c>
      <c r="H1" s="3" t="inlineStr">
        <is>
          <t>Lv5 顆</t>
        </is>
      </c>
      <c r="I1" s="3" t="inlineStr">
        <is>
          <t>Lv7 份數</t>
        </is>
      </c>
      <c r="J1" s="3" t="inlineStr">
        <is>
          <t>Lv7 顆</t>
        </is>
      </c>
      <c r="K1" s="3" t="inlineStr">
        <is>
          <t>Lv9 份數</t>
        </is>
      </c>
      <c r="L1" s="3" t="inlineStr">
        <is>
          <t>Lv9 顆</t>
        </is>
      </c>
      <c r="M1" s="3" t="inlineStr">
        <is>
          <t>評語</t>
        </is>
      </c>
    </row>
    <row r="2" ht="34" customHeight="1">
      <c r="A2" s="5" t="inlineStr">
        <is>
          <t>A 現值</t>
        </is>
      </c>
      <c r="B2" s="4" t="n">
        <v>1</v>
      </c>
      <c r="C2" s="4" t="n">
        <v>0</v>
      </c>
      <c r="D2" s="4" t="n">
        <v>0</v>
      </c>
      <c r="E2">
        <f>(3-1)*B2+FLOOR('升級與收入'!C4*參數!$B$4,1)*C2+0</f>
        <v/>
      </c>
      <c r="F2">
        <f>SUMPRODUCT(--(星價!$C$2:$C$9&lt;=E2))</f>
        <v/>
      </c>
      <c r="G2">
        <f>(5-1)*B2+FLOOR('升級與收入'!C6*參數!$B$4,1)*C2+0</f>
        <v/>
      </c>
      <c r="H2">
        <f>SUMPRODUCT(--(星價!$C$2:$C$9&lt;=G2))</f>
        <v/>
      </c>
      <c r="I2">
        <f>(7-1)*B2+FLOOR('升級與收入'!C8*參數!$B$4,1)*C2+0</f>
        <v/>
      </c>
      <c r="J2">
        <f>SUMPRODUCT(--(星價!$C$2:$C$9&lt;=I2))</f>
        <v/>
      </c>
      <c r="K2">
        <f>(9-1)*B2+FLOOR('升級與收入'!C10*參數!$B$4,1)*C2+D2</f>
        <v/>
      </c>
      <c r="L2">
        <f>SUMPRODUCT(--(星價!$C$2:$C$9&lt;=K2))</f>
        <v/>
      </c>
      <c r="M2" s="7" t="inlineStr">
        <is>
          <t>中階（Lv5）3 顆、滿級 4 顆：⑤ 以後幾乎摸不到，「選」變成「只能點前面」。</t>
        </is>
      </c>
    </row>
    <row r="3" ht="34" customHeight="1">
      <c r="A3" s="5" t="inlineStr">
        <is>
          <t>B 每級 2 份</t>
        </is>
      </c>
      <c r="B3" s="4" t="n">
        <v>2</v>
      </c>
      <c r="C3" s="4" t="n">
        <v>0</v>
      </c>
      <c r="D3" s="4" t="n">
        <v>0</v>
      </c>
      <c r="E3">
        <f>(3-1)*B3+FLOOR('升級與收入'!C4*參數!$B$4,1)*C3+0</f>
        <v/>
      </c>
      <c r="F3">
        <f>SUMPRODUCT(--(星價!$C$2:$C$9&lt;=E3))</f>
        <v/>
      </c>
      <c r="G3">
        <f>(5-1)*B3+FLOOR('升級與收入'!C6*參數!$B$4,1)*C3+0</f>
        <v/>
      </c>
      <c r="H3">
        <f>SUMPRODUCT(--(星價!$C$2:$C$9&lt;=G3))</f>
        <v/>
      </c>
      <c r="I3">
        <f>(7-1)*B3+FLOOR('升級與收入'!C8*參數!$B$4,1)*C3+0</f>
        <v/>
      </c>
      <c r="J3">
        <f>SUMPRODUCT(--(星價!$C$2:$C$9&lt;=I3))</f>
        <v/>
      </c>
      <c r="K3">
        <f>(9-1)*B3+FLOOR('升級與收入'!C10*參數!$B$4,1)*C3+D3</f>
        <v/>
      </c>
      <c r="L3">
        <f>SUMPRODUCT(--(星價!$C$2:$C$9&lt;=K3))</f>
        <v/>
      </c>
      <c r="M3" s="7" t="inlineStr">
        <is>
          <t>中階 4 顆、滿級 7 顆：⑧ 要靠劇情或條件補。</t>
        </is>
      </c>
    </row>
    <row r="4" ht="34" customHeight="1">
      <c r="A4" s="5" t="inlineStr">
        <is>
          <t>C 每級 2 份＋Boss 1 份</t>
        </is>
      </c>
      <c r="B4" s="4" t="n">
        <v>2</v>
      </c>
      <c r="C4" s="4" t="n">
        <v>1</v>
      </c>
      <c r="D4" s="4" t="n">
        <v>0</v>
      </c>
      <c r="E4">
        <f>(3-1)*B4+FLOOR('升級與收入'!C4*參數!$B$4,1)*C4+0</f>
        <v/>
      </c>
      <c r="F4">
        <f>SUMPRODUCT(--(星價!$C$2:$C$9&lt;=E4))</f>
        <v/>
      </c>
      <c r="G4">
        <f>(5-1)*B4+FLOOR('升級與收入'!C6*參數!$B$4,1)*C4+0</f>
        <v/>
      </c>
      <c r="H4">
        <f>SUMPRODUCT(--(星價!$C$2:$C$9&lt;=G4))</f>
        <v/>
      </c>
      <c r="I4">
        <f>(7-1)*B4+FLOOR('升級與收入'!C8*參數!$B$4,1)*C4+0</f>
        <v/>
      </c>
      <c r="J4">
        <f>SUMPRODUCT(--(星價!$C$2:$C$9&lt;=I4))</f>
        <v/>
      </c>
      <c r="K4">
        <f>(9-1)*B4+FLOOR('升級與收入'!C10*參數!$B$4,1)*C4+D4</f>
        <v/>
      </c>
      <c r="L4">
        <f>SUMPRODUCT(--(星價!$C$2:$C$9&lt;=K4))</f>
        <v/>
      </c>
      <c r="M4" s="7" t="inlineStr">
        <is>
          <t>Lv5 就 6 顆、Lv7 全亮：Boss 越多的路線越快（變成鼓勵刷 Boss）。</t>
        </is>
      </c>
    </row>
    <row r="5" ht="34" customHeight="1">
      <c r="A5" s="9" t="inlineStr">
        <is>
          <t>D 每級 2 份＋劇情 4 份</t>
        </is>
      </c>
      <c r="B5" s="4" t="n">
        <v>2</v>
      </c>
      <c r="C5" s="4" t="n">
        <v>0</v>
      </c>
      <c r="D5" s="4" t="n">
        <v>4</v>
      </c>
      <c r="E5" s="10">
        <f>(3-1)*B5+FLOOR('升級與收入'!C4*參數!$B$4,1)*C5+0</f>
        <v/>
      </c>
      <c r="F5" s="10">
        <f>SUMPRODUCT(--(星價!$C$2:$C$9&lt;=E5))</f>
        <v/>
      </c>
      <c r="G5" s="10">
        <f>(5-1)*B5+FLOOR('升級與收入'!C6*參數!$B$4,1)*C5+0</f>
        <v/>
      </c>
      <c r="H5" s="10">
        <f>SUMPRODUCT(--(星價!$C$2:$C$9&lt;=G5))</f>
        <v/>
      </c>
      <c r="I5" s="10">
        <f>(7-1)*B5+FLOOR('升級與收入'!C8*參數!$B$4,1)*C5+0</f>
        <v/>
      </c>
      <c r="J5" s="10">
        <f>SUMPRODUCT(--(星價!$C$2:$C$9&lt;=I5))</f>
        <v/>
      </c>
      <c r="K5" s="10">
        <f>(9-1)*B5+FLOOR('升級與收入'!C10*參數!$B$4,1)*C5+D5</f>
        <v/>
      </c>
      <c r="L5" s="10">
        <f>SUMPRODUCT(--(星價!$C$2:$C$9&lt;=K5))</f>
        <v/>
      </c>
      <c r="M5" s="11" t="inlineStr">
        <is>
          <t>【建議】中階 4 顆可選、主線打完剛好 ①～⑧ 全亮（20 份）；進度由劇情控，不靠刷。</t>
        </is>
      </c>
    </row>
    <row r="6" ht="34" customHeight="1">
      <c r="A6" s="5" t="inlineStr">
        <is>
          <t>E 每級 3 份</t>
        </is>
      </c>
      <c r="B6" s="4" t="n">
        <v>3</v>
      </c>
      <c r="C6" s="4" t="n">
        <v>0</v>
      </c>
      <c r="D6" s="4" t="n">
        <v>0</v>
      </c>
      <c r="E6">
        <f>(3-1)*B6+FLOOR('升級與收入'!C4*參數!$B$4,1)*C6+0</f>
        <v/>
      </c>
      <c r="F6">
        <f>SUMPRODUCT(--(星價!$C$2:$C$9&lt;=E6))</f>
        <v/>
      </c>
      <c r="G6">
        <f>(5-1)*B6+FLOOR('升級與收入'!C6*參數!$B$4,1)*C6+0</f>
        <v/>
      </c>
      <c r="H6">
        <f>SUMPRODUCT(--(星價!$C$2:$C$9&lt;=G6))</f>
        <v/>
      </c>
      <c r="I6">
        <f>(7-1)*B6+FLOOR('升級與收入'!C8*參數!$B$4,1)*C6+0</f>
        <v/>
      </c>
      <c r="J6">
        <f>SUMPRODUCT(--(星價!$C$2:$C$9&lt;=I6))</f>
        <v/>
      </c>
      <c r="K6">
        <f>(9-1)*B6+FLOOR('升級與收入'!C10*參數!$B$4,1)*C6+D6</f>
        <v/>
      </c>
      <c r="L6">
        <f>SUMPRODUCT(--(星價!$C$2:$C$9&lt;=K6))</f>
        <v/>
      </c>
      <c r="M6" s="7" t="inlineStr">
        <is>
          <t>Lv5 就 6 顆、Lv9 全亮：太快，⑦⑧ 的強力循環會在中段就出現。</t>
        </is>
      </c>
    </row>
    <row r="9">
      <c r="A9" s="8" t="inlineStr">
        <is>
          <t>⚠ 劇情合計只算進 Lv9 那一欄（假設劇情份數大多在後段給）；要看中段就把一部分改成 Boss 或每級。</t>
        </is>
      </c>
    </row>
    <row r="10">
      <c r="A10" s="8" t="inlineStr">
        <is>
          <t>⚠ 「顆」是依序由便宜到貴能點的顆數；實際玩家會跳著挑（下一頁）。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6" customWidth="1" min="4" max="4"/>
    <col width="30" customWidth="1" min="5" max="5"/>
    <col width="46" customWidth="1" min="6" max="6"/>
  </cols>
  <sheetData>
    <row r="1">
      <c r="A1" s="3" t="inlineStr">
        <is>
          <t>角色</t>
        </is>
      </c>
      <c r="B1" s="3" t="inlineStr">
        <is>
          <t>9 份的最強買法（跳著挑）</t>
        </is>
      </c>
      <c r="C1" s="3" t="inlineStr">
        <is>
          <t>花費</t>
        </is>
      </c>
      <c r="D1" s="3" t="inlineStr">
        <is>
          <t>為什麼強</t>
        </is>
      </c>
      <c r="E1" s="3" t="inlineStr">
        <is>
          <t>風險</t>
        </is>
      </c>
      <c r="F1" s="3" t="inlineStr">
        <is>
          <t>可調的方向（等 Ray 定）</t>
        </is>
      </c>
    </row>
    <row r="2" ht="78" customHeight="1">
      <c r="A2" s="12" t="inlineStr">
        <is>
          <t>諾薇兒</t>
        </is>
      </c>
      <c r="B2" s="12" t="inlineStr">
        <is>
          <t>免死組：①先鋒 ＋ ②引路 ＋ ④堅殼 ＋ ⑦蟹生</t>
        </is>
      </c>
      <c r="C2" s="12" t="inlineStr">
        <is>
          <t>1+1+2+4＝8</t>
        </is>
      </c>
      <c r="D2" s="12" t="inlineStr">
        <is>
          <t>天鎖每隻怪一次（⑦）＋天鎖十秒內射擊回血（④）＋失誤一次不受擊（②）。方案 D 約 Lv5 就湊得齊（不必改排列）。聖徒化那一路（⑥斷鉗＋⑧負行，7 份）是後期上限：一場一次、幾乎穩出 MB。</t>
        </is>
      </c>
      <c r="E2" s="12" t="inlineStr">
        <is>
          <t>低。⚠ 單體 Boss 只有一場 ⇒ ⑦蟹生在 Boss 戰沒有作用，手殘玩家在 Boss 前只有「一次免死＋回血」。</t>
        </is>
      </c>
      <c r="F2" s="12" t="inlineStr">
        <is>
          <t>【Ray 方向：早期穩定不死】要在 Boss 戰也「穩定」，④堅殼的回血是關鍵（已在 2 份的位置）；若還不夠，可讓天鎖在同一場有第二次（例如 ⑦ 改成「每一場兩次」）或把回血比例提高。</t>
        </is>
      </c>
    </row>
    <row r="3" ht="78" customHeight="1">
      <c r="A3" s="12" t="inlineStr">
        <is>
          <t>安雅</t>
        </is>
      </c>
      <c r="B3" s="12" t="inlineStr">
        <is>
          <t>③烙印 ＋ ⑥前引 ＋ ⑧界心</t>
        </is>
      </c>
      <c r="C3" s="12" t="inlineStr">
        <is>
          <t>2+3+4＝9</t>
        </is>
      </c>
      <c r="D3" s="12" t="inlineStr">
        <is>
          <t>回填改成下一場之後，③烙印只在連戰有用；Boss 戰一場只有一發夢境粉碎（20%，⑧ 之後 30%）。</t>
        </is>
      </c>
      <c r="E3" s="12" t="inlineStr">
        <is>
          <t>中→低（-1775 之前是最高）。連戰清雜怪時仍強：粉碎打死＝處決＝下一隻又能開夢魘化，可以一路串。</t>
        </is>
      </c>
      <c r="F3" s="12" t="inlineStr">
        <is>
          <t>已大致平衡。要再收只收連戰：例如粉碎處決不賺回發動（只留烙印星那條路）。</t>
        </is>
      </c>
    </row>
    <row r="4" ht="78" customHeight="1">
      <c r="A4" s="12" t="inlineStr">
        <is>
          <t>索菈娜</t>
        </is>
      </c>
      <c r="B4" s="12" t="inlineStr">
        <is>
          <t>②海宣 ＋ ⑤箭頭 ＋ ⑦聚落 ＋ ①地弓</t>
        </is>
      </c>
      <c r="C4" s="12" t="inlineStr">
        <is>
          <t>1+3+4+1＝9</t>
        </is>
      </c>
      <c r="D4" s="12" t="inlineStr">
        <is>
          <t>⑦聚落讓共鬥同一場可以再開，但共鬥**消耗全部破防值**、時長＝12 秒×破防值/100（最低 3 秒），期間普攻回充只有一半 ⇒ 連開的無敵時間被破防值總量封頂，而那正是彈雨的輸出來源。</t>
        </is>
      </c>
      <c r="E4" s="12" t="inlineStr">
        <is>
          <t>低（Ray 的設計，-1775 後確認）：連開共鬥＝輸出下降、局變長，而她的評價時間係數是 650（別人 400）⇒ 必定低評（錢是敵 HP×等第%，D 只拿 50%）。低評反而給她較多 EXP 與好感 —— 那是她「打得爛也開心」的性格，是取捨不是漏洞。</t>
        </is>
      </c>
      <c r="F4" s="12" t="inlineStr">
        <is>
          <t>不改。她**沒有任何回血手段**（共鬥只擋不補），連戰會被慢慢耗死 ⇒ 保守型玩家會選諾薇兒不是她（Ray），「保守玩法讓她升最快」不成立。</t>
        </is>
      </c>
    </row>
    <row r="6">
      <c r="A6" s="5" t="inlineStr">
        <is>
          <t>結論</t>
        </is>
      </c>
    </row>
    <row r="7" ht="60" customHeight="1">
      <c r="A7" s="7" t="inlineStr">
        <is>
          <t>前提（ver -1775）：聖徒化／夢魘化一場限一次，回填一律下一場才生效；星不用等級鎖，價格 1/1/2/2/3/3/4/4＋⑨條件。⇒ 單體 Boss 戰三人都只有「一次變身」，差距回到技能本身；安雅的便宜強星（③烙印）只剩連戰價值。索菈娜 ⑦聚落雖然同一場能再開共鬥，但被破防值總量與評價係數 650 綁住（連開＝必定低評），Ray 定為刻意的取捨，不改。諾薇兒的免死組在方案 D 約 Lv5 可成形，但 Boss 戰只有一次免死。</t>
        </is>
      </c>
    </row>
  </sheetData>
  <mergeCells count="1"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2026-09-26T17:12:15Z</dcterms:created>
  <dcterms:modified xmlns:dcterms="http://purl.org/dc/terms/" xmlns:xsi="http://www.w3.org/2001/XMLSchema-instance" xsi:type="dcterms:W3CDTF">2026-09-26T17:12:15Z</dcterms:modified>
</cp:coreProperties>
</file>