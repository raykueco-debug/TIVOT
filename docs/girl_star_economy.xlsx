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參數" sheetId="2" state="visible" r:id="rId2"/>
    <sheet xmlns:r="http://schemas.openxmlformats.org/officeDocument/2006/relationships" name="星價" sheetId="3" state="visible" r:id="rId3"/>
    <sheet xmlns:r="http://schemas.openxmlformats.org/officeDocument/2006/relationships" name="升級與收入" sheetId="4" state="visible" r:id="rId4"/>
    <sheet xmlns:r="http://schemas.openxmlformats.org/officeDocument/2006/relationships" name="方案比較" sheetId="5" state="visible" r:id="rId5"/>
    <sheet xmlns:r="http://schemas.openxmlformats.org/officeDocument/2006/relationships" name="失衡分析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color rgb="00FFFFFF"/>
    </font>
    <font>
      <b val="1"/>
    </font>
    <font>
      <i val="1"/>
    </font>
  </fonts>
  <fills count="5">
    <fill>
      <patternFill/>
    </fill>
    <fill>
      <patternFill patternType="gray125"/>
    </fill>
    <fill>
      <patternFill patternType="solid">
        <fgColor rgb="002B2440"/>
      </patternFill>
    </fill>
    <fill>
      <patternFill patternType="solid">
        <fgColor rgb="00FFF2B3"/>
      </patternFill>
    </fill>
    <fill>
      <patternFill patternType="solid">
        <fgColor rgb="00E6F4EA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4" borderId="0" pivotButton="0" quotePrefix="0" xfId="0"/>
    <xf numFmtId="0" fontId="0" fillId="4" borderId="0" pivotButton="0" quotePrefix="0" xfId="0"/>
    <xf numFmtId="0" fontId="0" fillId="4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女主九星・戰鬥紀錄經濟試算（ver -1774 草稿）</t>
        </is>
      </c>
    </row>
    <row r="2">
      <c r="A2" s="2" t="inlineStr"/>
    </row>
    <row r="3">
      <c r="A3" s="2" t="inlineStr">
        <is>
          <t>規則（Ray 定案）：星不再用等級鎖、等級上限 20。①出場就亮、② 1 份、③④ 各 2 份、⑤⑥ 各 3 份、⑦⑧ 各 4 份；⑨＝滿足特定條件（不花紀錄）。</t>
        </is>
      </c>
    </row>
    <row r="4">
      <c r="A4" s="2" t="inlineStr">
        <is>
          <t>⇒ ②～⑧ 總共 19 份＝Lv1→Lv20 升 19 級的 19 份，滿級剛好全亮。等級只負責「產出」紀錄。</t>
        </is>
      </c>
    </row>
    <row r="5">
      <c r="A5" s="2" t="inlineStr"/>
    </row>
    <row r="6">
      <c r="A6" s="2" t="inlineStr">
        <is>
          <t>黃底格子＝可以改的旋鈕，其餘都是公式，改了會自己重算。</t>
        </is>
      </c>
    </row>
    <row r="7">
      <c r="A7" s="2" t="inlineStr">
        <is>
          <t>「參數」：收入的來源（每升一級幾份、Boss 局額外幾份、劇情固定給幾份）與一局的平均分數。</t>
        </is>
      </c>
    </row>
    <row r="8">
      <c r="A8" s="2" t="inlineStr">
        <is>
          <t>「星價」：三人九顆星的價格與累計成本（價格照 Ray 的規則，改了這裡要回寫 config.js）。</t>
        </is>
      </c>
    </row>
    <row r="9">
      <c r="A9" s="2" t="inlineStr">
        <is>
          <t>「升級與收入」：每一級要打幾局、那時手上累計幾份、依價格由便宜到貴能點幾顆。</t>
        </is>
      </c>
    </row>
    <row r="10">
      <c r="A10" s="2" t="inlineStr">
        <is>
          <t>「方案比較」：幾組收入設定並排，看 Lv3／Lv5／Lv7／Lv9 各能點幾顆。綠底＝我的建議。</t>
        </is>
      </c>
    </row>
    <row r="11">
      <c r="A11" s="2" t="inlineStr">
        <is>
          <t>「失衡分析」：同樣的紀錄量，三個人各自「最強的買法」是什麼、哪幾顆太便宜。</t>
        </is>
      </c>
    </row>
    <row r="12">
      <c r="A12" s="2" t="inlineStr"/>
    </row>
    <row r="13">
      <c r="A13" s="2" t="inlineStr">
        <is>
          <t>⚠ 局數用的是「平均分數」的單一估值；實際一局 EXP 還有 overkill 與分數微擾。拿來比較方案夠用，不要拿來算精確進度。</t>
        </is>
      </c>
    </row>
    <row r="14">
      <c r="A14" s="2" t="inlineStr">
        <is>
          <t>⚠ 索菈娜的 EXP 方向相反（分數越低 EXP 越高，config 的 invertFor），所以同樣的分數她升得不一樣快。</t>
        </is>
      </c>
    </row>
    <row r="15">
      <c r="A15" s="2" t="inlineStr">
        <is>
          <t>重產這份表：python3 tools/girl_star_economy.py（星名與效果從 config.js 現讀）。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50" customWidth="1" min="4" max="4"/>
  </cols>
  <sheetData>
    <row r="1">
      <c r="A1" s="3" t="inlineStr">
        <is>
          <t>旋鈕</t>
        </is>
      </c>
      <c r="B1" s="3" t="inlineStr">
        <is>
          <t>值</t>
        </is>
      </c>
      <c r="C1" s="3" t="inlineStr">
        <is>
          <t>代號</t>
        </is>
      </c>
      <c r="D1" s="3" t="inlineStr">
        <is>
          <t>說明</t>
        </is>
      </c>
    </row>
    <row r="2">
      <c r="A2" t="inlineStr">
        <is>
          <t>每升一級給幾份《戰鬥紀錄》</t>
        </is>
      </c>
      <c r="B2" s="4" t="n">
        <v>1</v>
      </c>
      <c r="C2" t="inlineStr">
        <is>
          <t>r</t>
        </is>
      </c>
      <c r="D2" t="inlineStr">
        <is>
          <t>config.girls.recordPerLevel（現值）</t>
        </is>
      </c>
    </row>
    <row r="3">
      <c r="A3" t="inlineStr">
        <is>
          <t>Boss 局結算額外給幾份</t>
        </is>
      </c>
      <c r="B3" s="4" t="n">
        <v>0</v>
      </c>
      <c r="C3" t="inlineStr">
        <is>
          <t>boss</t>
        </is>
      </c>
      <c r="D3" t="inlineStr">
        <is>
          <t>現在沒有這條來源；想加就填</t>
        </is>
      </c>
    </row>
    <row r="4">
      <c r="A4" t="inlineStr">
        <is>
          <t>Boss 局佔全部局數的比例</t>
        </is>
      </c>
      <c r="B4" s="4" t="n">
        <v>0.3</v>
      </c>
      <c r="C4" t="inlineStr">
        <is>
          <t>pboss</t>
        </is>
      </c>
      <c r="D4" t="inlineStr">
        <is>
          <t>估值：北泊／森林／遺蹟／古城的收段多半是 Boss</t>
        </is>
      </c>
    </row>
    <row r="5">
      <c r="A5" t="inlineStr">
        <is>
          <t>劇情固定給（整趟主線合計）</t>
        </is>
      </c>
      <c r="B5" s="4" t="n">
        <v>0</v>
      </c>
      <c r="C5" t="inlineStr">
        <is>
          <t>story</t>
        </is>
      </c>
      <c r="D5" t="inlineStr">
        <is>
          <t>例：每章收尾給一份就填章數</t>
        </is>
      </c>
    </row>
    <row r="6">
      <c r="A6" t="inlineStr">
        <is>
          <t>平均一局分數（諾薇兒／安雅）</t>
        </is>
      </c>
      <c r="B6" s="4" t="n">
        <v>60</v>
      </c>
      <c r="C6" t="inlineStr">
        <is>
          <t>score</t>
        </is>
      </c>
      <c r="D6" t="inlineStr">
        <is>
          <t>B 等約 50~64</t>
        </is>
      </c>
    </row>
    <row r="7">
      <c r="A7" t="inlineStr">
        <is>
          <t>平均一局分數（索菈娜）</t>
        </is>
      </c>
      <c r="B7" s="4" t="n">
        <v>60</v>
      </c>
      <c r="C7" t="inlineStr">
        <is>
          <t>score_s</t>
        </is>
      </c>
      <c r="D7" t="inlineStr">
        <is>
          <t>她的 EXP 用 100−分數 算</t>
        </is>
      </c>
    </row>
    <row r="8">
      <c r="A8" t="inlineStr">
        <is>
          <t>EXP 基底 offset</t>
        </is>
      </c>
      <c r="B8" s="4" t="n">
        <v>137</v>
      </c>
      <c r="C8" t="inlineStr">
        <is>
          <t>off</t>
        </is>
      </c>
      <c r="D8" t="inlineStr">
        <is>
          <t>config.rating.exp.offset</t>
        </is>
      </c>
    </row>
    <row r="9">
      <c r="A9" t="inlineStr">
        <is>
          <t>EXP 倍率 mult</t>
        </is>
      </c>
      <c r="B9" s="4" t="n">
        <v>8.699999999999999</v>
      </c>
      <c r="C9" t="inlineStr">
        <is>
          <t>mult</t>
        </is>
      </c>
      <c r="D9" t="inlineStr">
        <is>
          <t>config.rating.exp.mult</t>
        </is>
      </c>
    </row>
    <row r="10">
      <c r="A10" t="inlineStr">
        <is>
          <t>Boss EXP 倍率</t>
        </is>
      </c>
      <c r="B10" s="4" t="n">
        <v>2</v>
      </c>
      <c r="C10" t="inlineStr">
        <is>
          <t>bmul</t>
        </is>
      </c>
      <c r="D10" t="inlineStr">
        <is>
          <t>config.rating.bossMul.exp</t>
        </is>
      </c>
    </row>
    <row r="12">
      <c r="A12" s="5" t="inlineStr">
        <is>
          <t>一局平均 EXP（諾／安）</t>
        </is>
      </c>
      <c r="B12">
        <f>(參數!$B$8+參數!$B$6*參數!$B$9)*(1-參數!$B$4+參數!$B$4*參數!$B$10)</f>
        <v/>
      </c>
    </row>
    <row r="13">
      <c r="A13" s="5" t="inlineStr">
        <is>
          <t>一局平均 EXP（索菈娜）</t>
        </is>
      </c>
      <c r="B13">
        <f>(參數!$B$8+(100-參數!$B$7)*參數!$B$9)*(1-參數!$B$4+參數!$B$4*參數!$B$10)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44" customWidth="1" min="4" max="4"/>
    <col width="44" customWidth="1" min="5" max="5"/>
    <col width="44" customWidth="1" min="6" max="6"/>
  </cols>
  <sheetData>
    <row r="1">
      <c r="A1" s="3" t="inlineStr">
        <is>
          <t>序</t>
        </is>
      </c>
      <c r="B1" s="3" t="inlineStr">
        <is>
          <t>價格（份）</t>
        </is>
      </c>
      <c r="C1" s="3" t="inlineStr">
        <is>
          <t>累計（依序）</t>
        </is>
      </c>
      <c r="D1" s="3" t="inlineStr">
        <is>
          <t>諾薇兒</t>
        </is>
      </c>
      <c r="E1" s="3" t="inlineStr">
        <is>
          <t>安雅</t>
        </is>
      </c>
      <c r="F1" s="3" t="inlineStr">
        <is>
          <t>索菈娜</t>
        </is>
      </c>
    </row>
    <row r="2" ht="62" customHeight="1">
      <c r="A2" s="6" t="inlineStr">
        <is>
          <t>★1</t>
        </is>
      </c>
      <c r="B2" s="4" t="n">
        <v>0</v>
      </c>
      <c r="C2">
        <f>SUM($B$2:B2)</f>
        <v/>
      </c>
      <c r="D2" s="7" t="inlineStr">
        <is>
          <t>先鋒星 Guisuer（變身）
聖徒化的連擊疊傷提升至 150%。</t>
        </is>
      </c>
      <c r="E2" s="7" t="inlineStr">
        <is>
          <t>拳鬥者星 Pollux（變身）
夢魘化期間反擊攻擊力提升至 120%。</t>
        </is>
      </c>
      <c r="F2" s="7" t="inlineStr">
        <is>
          <t>地弓星 Kaus Australis（主動）
彈雨傾洩的攻擊力提升至 120%。</t>
        </is>
      </c>
    </row>
    <row r="3" ht="62" customHeight="1">
      <c r="A3" s="6" t="inlineStr">
        <is>
          <t>★2</t>
        </is>
      </c>
      <c r="B3" s="4" t="n">
        <v>1</v>
      </c>
      <c r="C3">
        <f>SUM($B$2:B3)</f>
        <v/>
      </c>
      <c r="D3" s="7" t="inlineStr">
        <is>
          <t>引路星 Asellus Borealis（變身）
失誤一次不受擊，點擊正確就重置。並在聖徒化期間全程指引下一格。</t>
        </is>
      </c>
      <c r="E3" s="7" t="inlineStr">
        <is>
          <t>築壩者星 Castor（主動）
夢境破碎發動後追加 10 秒反擊增益，並全程指引下一格。</t>
        </is>
      </c>
      <c r="F3" s="7" t="inlineStr">
        <is>
          <t>箭頭星 Alnasl（被動）
獵手的戰吼發動條件由連續5盤完美清盤降低為3盤。</t>
        </is>
      </c>
    </row>
    <row r="4" ht="62" customHeight="1">
      <c r="A4" s="6" t="inlineStr">
        <is>
          <t>★3</t>
        </is>
      </c>
      <c r="B4" s="4" t="n">
        <v>2</v>
      </c>
      <c r="C4">
        <f>SUM($B$2:B4)</f>
        <v/>
      </c>
      <c r="D4" s="7" t="inlineStr">
        <is>
          <t>探覓星 Nahn（主動）
發動彈雨傾洩可回復魂之歸所的使用次數。</t>
        </is>
      </c>
      <c r="E4" s="7" t="inlineStr">
        <is>
          <t>烙印星 Alhena（變身）
連續三次完美反擊即回復夢魘化熔斷；同場戰鬥內不可連續使用。同戰役的次場戰鬥生效。</t>
        </is>
      </c>
      <c r="F4" s="7" t="inlineStr">
        <is>
          <t>曳弦星 Ascella（主動）
獵手的智慧發動後追加 10 秒破防值累積量 200%。</t>
        </is>
      </c>
    </row>
    <row r="5" ht="62" customHeight="1">
      <c r="A5" s="6" t="inlineStr">
        <is>
          <t>★4</t>
        </is>
      </c>
      <c r="B5" s="4" t="n">
        <v>2</v>
      </c>
      <c r="C5">
        <f>SUM($B$2:B5)</f>
        <v/>
      </c>
      <c r="D5" s="7" t="inlineStr">
        <is>
          <t>堅殼星 Tegmine（被動）
獄門天鎖的十秒免傷期間，每次射擊回復最大體力 5%。反擊一次算一發，聖徒化期間不作動。</t>
        </is>
      </c>
      <c r="E5" s="7" t="inlineStr">
        <is>
          <t>赤足星 Tejat（被動）
明晰之夢延長為 10 秒。明晰之夢與夢魘化期間的反擊威力升一階：黃圈打橘圈傷害、橘圈打紅圈傷害、紅圈全暴擊。</t>
        </is>
      </c>
      <c r="F5" s="7" t="inlineStr">
        <is>
          <t>獵弓星 Kaus Media（變身）
獵手的共鬥期間，自動反擊威力提升 50%。</t>
        </is>
      </c>
    </row>
    <row r="6" ht="62" customHeight="1">
      <c r="A6" s="6" t="inlineStr">
        <is>
          <t>★5</t>
        </is>
      </c>
      <c r="B6" s="4" t="n">
        <v>3</v>
      </c>
      <c r="C6">
        <f>SUM($B$2:B6)</f>
        <v/>
      </c>
      <c r="D6" s="7" t="inlineStr">
        <is>
          <t>端首星 Guisuyi（變身）
單場無傷擊殺即回復聖徒化熔斷；同場戰鬥內不可連續使用。同戰役的次場戰鬥生效。</t>
        </is>
      </c>
      <c r="E6" s="7" t="inlineStr">
        <is>
          <t>赤爪星 Mebsuta（主動）
連續十次反擊成功（不限圈色）即回填夢境破碎。</t>
        </is>
      </c>
      <c r="F6" s="7" t="inlineStr">
        <is>
          <t>海宣星 Nunki（被動）
獵手的戰吼發動時，可再次使用獵手的智慧。</t>
        </is>
      </c>
    </row>
    <row r="7" ht="62" customHeight="1">
      <c r="A7" s="6" t="inlineStr">
        <is>
          <t>★6</t>
        </is>
      </c>
      <c r="B7" s="4" t="n">
        <v>3</v>
      </c>
      <c r="C7">
        <f>SUM($B$2:B7)</f>
        <v/>
      </c>
      <c r="D7" s="7" t="inlineStr">
        <is>
          <t>斷鉗星 Acubens（變身）
聖徒化時體力降至 1。</t>
        </is>
      </c>
      <c r="E7" s="7" t="inlineStr">
        <is>
          <t>前引星 Propus（變身）
夢魘化發動時體力先回滿，發動時間最大化。</t>
        </is>
      </c>
      <c r="F7" s="7" t="inlineStr">
        <is>
          <t>天弓星 Kaus Borealis（變身）
獵手的共鬥期間，自動反擊威力再提升 100%。</t>
        </is>
      </c>
    </row>
    <row r="8" ht="62" customHeight="1">
      <c r="A8" s="6" t="inlineStr">
        <is>
          <t>★7</t>
        </is>
      </c>
      <c r="B8" s="4" t="n">
        <v>4</v>
      </c>
      <c r="C8">
        <f>SUM($B$2:B8)</f>
        <v/>
      </c>
      <c r="D8" s="7" t="inlineStr">
        <is>
          <t>蟹生星 Yuyu（被動）
獄門天鎖於同場戰役內的每一場戰鬥都可發動一次。</t>
        </is>
      </c>
      <c r="E8" s="7" t="inlineStr">
        <is>
          <t>鐵蹄星 Alzirr（被動）
明晰之夢延長為 15 秒。反擊威力再升一階：黃圈打紅圈傷害、橘圈全暴擊、紅圈兩倍傷害。</t>
        </is>
      </c>
      <c r="F8" s="7" t="inlineStr">
        <is>
          <t>聚落星 Albaldah（主動）
主動技發動同時回填獵手的共鬥。同一場戰鬥可連續使用。</t>
        </is>
      </c>
    </row>
    <row r="9" ht="62" customHeight="1">
      <c r="A9" s="6" t="inlineStr">
        <is>
          <t>★8</t>
        </is>
      </c>
      <c r="B9" s="4" t="n">
        <v>4</v>
      </c>
      <c r="C9">
        <f>SUM($B$2:B9)</f>
        <v/>
      </c>
      <c r="D9" s="7" t="inlineStr">
        <is>
          <t>負行星 Asellus Australis（變身）
聖徒化時間不受到敵方攻擊減少。</t>
        </is>
      </c>
      <c r="E9" s="7" t="inlineStr">
        <is>
          <t>界心星 Wasat（主動）
夢境破碎若在夢魘化期間最後一格時發動，一次給與敵人最大體力的 30% 傷害。</t>
        </is>
      </c>
      <c r="F9" s="7" t="inlineStr">
        <is>
          <t>射手星 Eta Sagittarii（變身）
獵手的共鬥最大持續時間延長。</t>
        </is>
      </c>
    </row>
    <row r="10" ht="62" customHeight="1">
      <c r="A10" s="6" t="inlineStr">
        <is>
          <t>★9</t>
        </is>
      </c>
      <c r="B10" t="inlineStr">
        <is>
          <t>條件</t>
        </is>
      </c>
      <c r="C10" t="inlineStr">
        <is>
          <t>—</t>
        </is>
      </c>
      <c r="D10" s="7" t="inlineStr">
        <is>
          <t>終焉星 Tarf（變身）
聖徒化期間的攻擊可小幅延長爆發時間。</t>
        </is>
      </c>
      <c r="E10" s="7" t="inlineStr">
        <is>
          <t>孿生星 κ Geminorum（變身）
夢魘化期間發動反擊先消耗破防計，破防計耗盡才開始消耗體力。</t>
        </is>
      </c>
      <c r="F10" s="7" t="inlineStr">
        <is>
          <t>獵手星 Phi Sagittarii（變身）
獵手的共鬥期間可累積之破防值，延長爆發時間。</t>
        </is>
      </c>
    </row>
    <row r="12">
      <c r="A12" s="5" t="inlineStr">
        <is>
          <t>①～⑧ 合計</t>
        </is>
      </c>
      <c r="B12" s="5">
        <f>SUM(B2:B9)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4" customWidth="1" min="4" max="4"/>
    <col width="18" customWidth="1" min="5" max="5"/>
    <col width="18" customWidth="1" min="6" max="6"/>
    <col width="16" customWidth="1" min="7" max="7"/>
    <col width="16" customWidth="1" min="8" max="8"/>
    <col width="14" customWidth="1" min="9" max="9"/>
    <col width="14" customWidth="1" min="10" max="10"/>
  </cols>
  <sheetData>
    <row r="1">
      <c r="A1" s="3" t="inlineStr">
        <is>
          <t>等級</t>
        </is>
      </c>
      <c r="B1" s="3" t="inlineStr">
        <is>
          <t>累計 EXP 門檻</t>
        </is>
      </c>
      <c r="C1" s="3" t="inlineStr">
        <is>
          <t>局數（諾／安）</t>
        </is>
      </c>
      <c r="D1" s="3" t="inlineStr">
        <is>
          <t>局數（索菈娜）</t>
        </is>
      </c>
      <c r="E1" s="3" t="inlineStr">
        <is>
          <t>升級給的份數（累計）</t>
        </is>
      </c>
      <c r="F1" s="3" t="inlineStr">
        <is>
          <t>Boss 局額外（諾／安）</t>
        </is>
      </c>
      <c r="G1" s="3" t="inlineStr">
        <is>
          <t>手上合計（諾／安）</t>
        </is>
      </c>
      <c r="H1" s="3" t="inlineStr">
        <is>
          <t>能點幾顆（諾／安）</t>
        </is>
      </c>
      <c r="I1" s="3" t="inlineStr">
        <is>
          <t>手上合計（索）</t>
        </is>
      </c>
      <c r="J1" s="3" t="inlineStr">
        <is>
          <t>能點幾顆（索）</t>
        </is>
      </c>
    </row>
    <row r="2">
      <c r="A2" s="6" t="n">
        <v>1</v>
      </c>
      <c r="B2" t="n">
        <v>0</v>
      </c>
      <c r="C2">
        <f>ROUND(B2/參數!$B$12,1)</f>
        <v/>
      </c>
      <c r="D2">
        <f>ROUND(B2/參數!$B$13,1)</f>
        <v/>
      </c>
      <c r="E2">
        <f>(A2-1)*參數!$B$2</f>
        <v/>
      </c>
      <c r="F2">
        <f>FLOOR(C2*參數!$B$4,1)*參數!$B$3</f>
        <v/>
      </c>
      <c r="G2">
        <f>E2+F2</f>
        <v/>
      </c>
      <c r="H2">
        <f>SUMPRODUCT(--(星價!$C$2:$C$9&lt;=G2))</f>
        <v/>
      </c>
      <c r="I2">
        <f>E2+FLOOR(D2*參數!$B$4,1)*參數!$B$3</f>
        <v/>
      </c>
      <c r="J2">
        <f>SUMPRODUCT(--(星價!$C$2:$C$9&lt;=I2))</f>
        <v/>
      </c>
    </row>
    <row r="3">
      <c r="A3" s="6" t="n">
        <v>2</v>
      </c>
      <c r="B3" t="n">
        <v>800</v>
      </c>
      <c r="C3">
        <f>ROUND(B3/參數!$B$12,1)</f>
        <v/>
      </c>
      <c r="D3">
        <f>ROUND(B3/參數!$B$13,1)</f>
        <v/>
      </c>
      <c r="E3">
        <f>(A3-1)*參數!$B$2</f>
        <v/>
      </c>
      <c r="F3">
        <f>FLOOR(C3*參數!$B$4,1)*參數!$B$3</f>
        <v/>
      </c>
      <c r="G3">
        <f>E3+F3</f>
        <v/>
      </c>
      <c r="H3">
        <f>SUMPRODUCT(--(星價!$C$2:$C$9&lt;=G3))</f>
        <v/>
      </c>
      <c r="I3">
        <f>E3+FLOOR(D3*參數!$B$4,1)*參數!$B$3</f>
        <v/>
      </c>
      <c r="J3">
        <f>SUMPRODUCT(--(星價!$C$2:$C$9&lt;=I3))</f>
        <v/>
      </c>
    </row>
    <row r="4">
      <c r="A4" s="6" t="n">
        <v>3</v>
      </c>
      <c r="B4" t="n">
        <v>1700</v>
      </c>
      <c r="C4">
        <f>ROUND(B4/參數!$B$12,1)</f>
        <v/>
      </c>
      <c r="D4">
        <f>ROUND(B4/參數!$B$13,1)</f>
        <v/>
      </c>
      <c r="E4">
        <f>(A4-1)*參數!$B$2</f>
        <v/>
      </c>
      <c r="F4">
        <f>FLOOR(C4*參數!$B$4,1)*參數!$B$3</f>
        <v/>
      </c>
      <c r="G4">
        <f>E4+F4</f>
        <v/>
      </c>
      <c r="H4">
        <f>SUMPRODUCT(--(星價!$C$2:$C$9&lt;=G4))</f>
        <v/>
      </c>
      <c r="I4">
        <f>E4+FLOOR(D4*參數!$B$4,1)*參數!$B$3</f>
        <v/>
      </c>
      <c r="J4">
        <f>SUMPRODUCT(--(星價!$C$2:$C$9&lt;=I4))</f>
        <v/>
      </c>
    </row>
    <row r="5">
      <c r="A5" s="6" t="n">
        <v>4</v>
      </c>
      <c r="B5" t="n">
        <v>2700</v>
      </c>
      <c r="C5">
        <f>ROUND(B5/參數!$B$12,1)</f>
        <v/>
      </c>
      <c r="D5">
        <f>ROUND(B5/參數!$B$13,1)</f>
        <v/>
      </c>
      <c r="E5">
        <f>(A5-1)*參數!$B$2</f>
        <v/>
      </c>
      <c r="F5">
        <f>FLOOR(C5*參數!$B$4,1)*參數!$B$3</f>
        <v/>
      </c>
      <c r="G5">
        <f>E5+F5</f>
        <v/>
      </c>
      <c r="H5">
        <f>SUMPRODUCT(--(星價!$C$2:$C$9&lt;=G5))</f>
        <v/>
      </c>
      <c r="I5">
        <f>E5+FLOOR(D5*參數!$B$4,1)*參數!$B$3</f>
        <v/>
      </c>
      <c r="J5">
        <f>SUMPRODUCT(--(星價!$C$2:$C$9&lt;=I5))</f>
        <v/>
      </c>
    </row>
    <row r="6">
      <c r="A6" s="6" t="n">
        <v>5</v>
      </c>
      <c r="B6" t="n">
        <v>3800</v>
      </c>
      <c r="C6">
        <f>ROUND(B6/參數!$B$12,1)</f>
        <v/>
      </c>
      <c r="D6">
        <f>ROUND(B6/參數!$B$13,1)</f>
        <v/>
      </c>
      <c r="E6">
        <f>(A6-1)*參數!$B$2</f>
        <v/>
      </c>
      <c r="F6">
        <f>FLOOR(C6*參數!$B$4,1)*參數!$B$3</f>
        <v/>
      </c>
      <c r="G6">
        <f>E6+F6</f>
        <v/>
      </c>
      <c r="H6">
        <f>SUMPRODUCT(--(星價!$C$2:$C$9&lt;=G6))</f>
        <v/>
      </c>
      <c r="I6">
        <f>E6+FLOOR(D6*參數!$B$4,1)*參數!$B$3</f>
        <v/>
      </c>
      <c r="J6">
        <f>SUMPRODUCT(--(星價!$C$2:$C$9&lt;=I6))</f>
        <v/>
      </c>
    </row>
    <row r="7">
      <c r="A7" s="6" t="n">
        <v>6</v>
      </c>
      <c r="B7" t="n">
        <v>5050</v>
      </c>
      <c r="C7">
        <f>ROUND(B7/參數!$B$12,1)</f>
        <v/>
      </c>
      <c r="D7">
        <f>ROUND(B7/參數!$B$13,1)</f>
        <v/>
      </c>
      <c r="E7">
        <f>(A7-1)*參數!$B$2</f>
        <v/>
      </c>
      <c r="F7">
        <f>FLOOR(C7*參數!$B$4,1)*參數!$B$3</f>
        <v/>
      </c>
      <c r="G7">
        <f>E7+F7</f>
        <v/>
      </c>
      <c r="H7">
        <f>SUMPRODUCT(--(星價!$C$2:$C$9&lt;=G7))</f>
        <v/>
      </c>
      <c r="I7">
        <f>E7+FLOOR(D7*參數!$B$4,1)*參數!$B$3</f>
        <v/>
      </c>
      <c r="J7">
        <f>SUMPRODUCT(--(星價!$C$2:$C$9&lt;=I7))</f>
        <v/>
      </c>
    </row>
    <row r="8">
      <c r="A8" s="6" t="n">
        <v>7</v>
      </c>
      <c r="B8" t="n">
        <v>6450</v>
      </c>
      <c r="C8">
        <f>ROUND(B8/參數!$B$12,1)</f>
        <v/>
      </c>
      <c r="D8">
        <f>ROUND(B8/參數!$B$13,1)</f>
        <v/>
      </c>
      <c r="E8">
        <f>(A8-1)*參數!$B$2</f>
        <v/>
      </c>
      <c r="F8">
        <f>FLOOR(C8*參數!$B$4,1)*參數!$B$3</f>
        <v/>
      </c>
      <c r="G8">
        <f>E8+F8</f>
        <v/>
      </c>
      <c r="H8">
        <f>SUMPRODUCT(--(星價!$C$2:$C$9&lt;=G8))</f>
        <v/>
      </c>
      <c r="I8">
        <f>E8+FLOOR(D8*參數!$B$4,1)*參數!$B$3</f>
        <v/>
      </c>
      <c r="J8">
        <f>SUMPRODUCT(--(星價!$C$2:$C$9&lt;=I8))</f>
        <v/>
      </c>
    </row>
    <row r="9">
      <c r="A9" s="6" t="n">
        <v>8</v>
      </c>
      <c r="B9" t="n">
        <v>8050</v>
      </c>
      <c r="C9">
        <f>ROUND(B9/參數!$B$12,1)</f>
        <v/>
      </c>
      <c r="D9">
        <f>ROUND(B9/參數!$B$13,1)</f>
        <v/>
      </c>
      <c r="E9">
        <f>(A9-1)*參數!$B$2</f>
        <v/>
      </c>
      <c r="F9">
        <f>FLOOR(C9*參數!$B$4,1)*參數!$B$3</f>
        <v/>
      </c>
      <c r="G9">
        <f>E9+F9</f>
        <v/>
      </c>
      <c r="H9">
        <f>SUMPRODUCT(--(星價!$C$2:$C$9&lt;=G9))</f>
        <v/>
      </c>
      <c r="I9">
        <f>E9+FLOOR(D9*參數!$B$4,1)*參數!$B$3</f>
        <v/>
      </c>
      <c r="J9">
        <f>SUMPRODUCT(--(星價!$C$2:$C$9&lt;=I9))</f>
        <v/>
      </c>
    </row>
    <row r="10">
      <c r="A10" s="6" t="n">
        <v>9</v>
      </c>
      <c r="B10" t="n">
        <v>9800</v>
      </c>
      <c r="C10">
        <f>ROUND(B10/參數!$B$12,1)</f>
        <v/>
      </c>
      <c r="D10">
        <f>ROUND(B10/參數!$B$13,1)</f>
        <v/>
      </c>
      <c r="E10">
        <f>(A10-1)*參數!$B$2</f>
        <v/>
      </c>
      <c r="F10">
        <f>FLOOR(C10*參數!$B$4,1)*參數!$B$3</f>
        <v/>
      </c>
      <c r="G10">
        <f>E10+F10</f>
        <v/>
      </c>
      <c r="H10">
        <f>SUMPRODUCT(--(星價!$C$2:$C$9&lt;=G10))</f>
        <v/>
      </c>
      <c r="I10">
        <f>E10+FLOOR(D10*參數!$B$4,1)*參數!$B$3</f>
        <v/>
      </c>
      <c r="J10">
        <f>SUMPRODUCT(--(星價!$C$2:$C$9&lt;=I10))</f>
        <v/>
      </c>
    </row>
    <row r="11">
      <c r="A11" s="6" t="n">
        <v>10</v>
      </c>
      <c r="B11" t="n">
        <v>11800</v>
      </c>
      <c r="C11">
        <f>ROUND(B11/參數!$B$12,1)</f>
        <v/>
      </c>
      <c r="D11">
        <f>ROUND(B11/參數!$B$13,1)</f>
        <v/>
      </c>
      <c r="E11">
        <f>(A11-1)*參數!$B$2</f>
        <v/>
      </c>
      <c r="F11">
        <f>FLOOR(C11*參數!$B$4,1)*參數!$B$3</f>
        <v/>
      </c>
      <c r="G11">
        <f>E11+F11</f>
        <v/>
      </c>
      <c r="H11">
        <f>SUMPRODUCT(--(星價!$C$2:$C$9&lt;=G11))</f>
        <v/>
      </c>
      <c r="I11">
        <f>E11+FLOOR(D11*參數!$B$4,1)*參數!$B$3</f>
        <v/>
      </c>
      <c r="J11">
        <f>SUMPRODUCT(--(星價!$C$2:$C$9&lt;=I11))</f>
        <v/>
      </c>
    </row>
    <row r="12">
      <c r="A12" s="6" t="n">
        <v>11</v>
      </c>
      <c r="B12" t="n">
        <v>14000</v>
      </c>
      <c r="C12">
        <f>ROUND(B12/參數!$B$12,1)</f>
        <v/>
      </c>
      <c r="D12">
        <f>ROUND(B12/參數!$B$13,1)</f>
        <v/>
      </c>
      <c r="E12">
        <f>(A12-1)*參數!$B$2</f>
        <v/>
      </c>
      <c r="F12">
        <f>FLOOR(C12*參數!$B$4,1)*參數!$B$3</f>
        <v/>
      </c>
      <c r="G12">
        <f>E12+F12</f>
        <v/>
      </c>
      <c r="H12">
        <f>SUMPRODUCT(--(星價!$C$2:$C$9&lt;=G12))</f>
        <v/>
      </c>
      <c r="I12">
        <f>E12+FLOOR(D12*參數!$B$4,1)*參數!$B$3</f>
        <v/>
      </c>
      <c r="J12">
        <f>SUMPRODUCT(--(星價!$C$2:$C$9&lt;=I12))</f>
        <v/>
      </c>
    </row>
    <row r="13">
      <c r="A13" s="6" t="n">
        <v>12</v>
      </c>
      <c r="B13" t="n">
        <v>16500</v>
      </c>
      <c r="C13">
        <f>ROUND(B13/參數!$B$12,1)</f>
        <v/>
      </c>
      <c r="D13">
        <f>ROUND(B13/參數!$B$13,1)</f>
        <v/>
      </c>
      <c r="E13">
        <f>(A13-1)*參數!$B$2</f>
        <v/>
      </c>
      <c r="F13">
        <f>FLOOR(C13*參數!$B$4,1)*參數!$B$3</f>
        <v/>
      </c>
      <c r="G13">
        <f>E13+F13</f>
        <v/>
      </c>
      <c r="H13">
        <f>SUMPRODUCT(--(星價!$C$2:$C$9&lt;=G13))</f>
        <v/>
      </c>
      <c r="I13">
        <f>E13+FLOOR(D13*參數!$B$4,1)*參數!$B$3</f>
        <v/>
      </c>
      <c r="J13">
        <f>SUMPRODUCT(--(星價!$C$2:$C$9&lt;=I13))</f>
        <v/>
      </c>
    </row>
    <row r="14">
      <c r="A14" s="6" t="n">
        <v>13</v>
      </c>
      <c r="B14" t="n">
        <v>19300</v>
      </c>
      <c r="C14">
        <f>ROUND(B14/參數!$B$12,1)</f>
        <v/>
      </c>
      <c r="D14">
        <f>ROUND(B14/參數!$B$13,1)</f>
        <v/>
      </c>
      <c r="E14">
        <f>(A14-1)*參數!$B$2</f>
        <v/>
      </c>
      <c r="F14">
        <f>FLOOR(C14*參數!$B$4,1)*參數!$B$3</f>
        <v/>
      </c>
      <c r="G14">
        <f>E14+F14</f>
        <v/>
      </c>
      <c r="H14">
        <f>SUMPRODUCT(--(星價!$C$2:$C$9&lt;=G14))</f>
        <v/>
      </c>
      <c r="I14">
        <f>E14+FLOOR(D14*參數!$B$4,1)*參數!$B$3</f>
        <v/>
      </c>
      <c r="J14">
        <f>SUMPRODUCT(--(星價!$C$2:$C$9&lt;=I14))</f>
        <v/>
      </c>
    </row>
    <row r="15">
      <c r="A15" s="6" t="n">
        <v>14</v>
      </c>
      <c r="B15" t="n">
        <v>22400</v>
      </c>
      <c r="C15">
        <f>ROUND(B15/參數!$B$12,1)</f>
        <v/>
      </c>
      <c r="D15">
        <f>ROUND(B15/參數!$B$13,1)</f>
        <v/>
      </c>
      <c r="E15">
        <f>(A15-1)*參數!$B$2</f>
        <v/>
      </c>
      <c r="F15">
        <f>FLOOR(C15*參數!$B$4,1)*參數!$B$3</f>
        <v/>
      </c>
      <c r="G15">
        <f>E15+F15</f>
        <v/>
      </c>
      <c r="H15">
        <f>SUMPRODUCT(--(星價!$C$2:$C$9&lt;=G15))</f>
        <v/>
      </c>
      <c r="I15">
        <f>E15+FLOOR(D15*參數!$B$4,1)*參數!$B$3</f>
        <v/>
      </c>
      <c r="J15">
        <f>SUMPRODUCT(--(星價!$C$2:$C$9&lt;=I15))</f>
        <v/>
      </c>
    </row>
    <row r="16">
      <c r="A16" s="6" t="n">
        <v>15</v>
      </c>
      <c r="B16" t="n">
        <v>25900</v>
      </c>
      <c r="C16">
        <f>ROUND(B16/參數!$B$12,1)</f>
        <v/>
      </c>
      <c r="D16">
        <f>ROUND(B16/參數!$B$13,1)</f>
        <v/>
      </c>
      <c r="E16">
        <f>(A16-1)*參數!$B$2</f>
        <v/>
      </c>
      <c r="F16">
        <f>FLOOR(C16*參數!$B$4,1)*參數!$B$3</f>
        <v/>
      </c>
      <c r="G16">
        <f>E16+F16</f>
        <v/>
      </c>
      <c r="H16">
        <f>SUMPRODUCT(--(星價!$C$2:$C$9&lt;=G16))</f>
        <v/>
      </c>
      <c r="I16">
        <f>E16+FLOOR(D16*參數!$B$4,1)*參數!$B$3</f>
        <v/>
      </c>
      <c r="J16">
        <f>SUMPRODUCT(--(星價!$C$2:$C$9&lt;=I16))</f>
        <v/>
      </c>
    </row>
    <row r="17">
      <c r="A17" s="6" t="n">
        <v>16</v>
      </c>
      <c r="B17" t="n">
        <v>29800</v>
      </c>
      <c r="C17">
        <f>ROUND(B17/參數!$B$12,1)</f>
        <v/>
      </c>
      <c r="D17">
        <f>ROUND(B17/參數!$B$13,1)</f>
        <v/>
      </c>
      <c r="E17">
        <f>(A17-1)*參數!$B$2</f>
        <v/>
      </c>
      <c r="F17">
        <f>FLOOR(C17*參數!$B$4,1)*參數!$B$3</f>
        <v/>
      </c>
      <c r="G17">
        <f>E17+F17</f>
        <v/>
      </c>
      <c r="H17">
        <f>SUMPRODUCT(--(星價!$C$2:$C$9&lt;=G17))</f>
        <v/>
      </c>
      <c r="I17">
        <f>E17+FLOOR(D17*參數!$B$4,1)*參數!$B$3</f>
        <v/>
      </c>
      <c r="J17">
        <f>SUMPRODUCT(--(星價!$C$2:$C$9&lt;=I17))</f>
        <v/>
      </c>
    </row>
    <row r="18">
      <c r="A18" s="6" t="n">
        <v>17</v>
      </c>
      <c r="B18" t="n">
        <v>34200</v>
      </c>
      <c r="C18">
        <f>ROUND(B18/參數!$B$12,1)</f>
        <v/>
      </c>
      <c r="D18">
        <f>ROUND(B18/參數!$B$13,1)</f>
        <v/>
      </c>
      <c r="E18">
        <f>(A18-1)*參數!$B$2</f>
        <v/>
      </c>
      <c r="F18">
        <f>FLOOR(C18*參數!$B$4,1)*參數!$B$3</f>
        <v/>
      </c>
      <c r="G18">
        <f>E18+F18</f>
        <v/>
      </c>
      <c r="H18">
        <f>SUMPRODUCT(--(星價!$C$2:$C$9&lt;=G18))</f>
        <v/>
      </c>
      <c r="I18">
        <f>E18+FLOOR(D18*參數!$B$4,1)*參數!$B$3</f>
        <v/>
      </c>
      <c r="J18">
        <f>SUMPRODUCT(--(星價!$C$2:$C$9&lt;=I18))</f>
        <v/>
      </c>
    </row>
    <row r="19">
      <c r="A19" s="6" t="n">
        <v>18</v>
      </c>
      <c r="B19" t="n">
        <v>39100</v>
      </c>
      <c r="C19">
        <f>ROUND(B19/參數!$B$12,1)</f>
        <v/>
      </c>
      <c r="D19">
        <f>ROUND(B19/參數!$B$13,1)</f>
        <v/>
      </c>
      <c r="E19">
        <f>(A19-1)*參數!$B$2</f>
        <v/>
      </c>
      <c r="F19">
        <f>FLOOR(C19*參數!$B$4,1)*參數!$B$3</f>
        <v/>
      </c>
      <c r="G19">
        <f>E19+F19</f>
        <v/>
      </c>
      <c r="H19">
        <f>SUMPRODUCT(--(星價!$C$2:$C$9&lt;=G19))</f>
        <v/>
      </c>
      <c r="I19">
        <f>E19+FLOOR(D19*參數!$B$4,1)*參數!$B$3</f>
        <v/>
      </c>
      <c r="J19">
        <f>SUMPRODUCT(--(星價!$C$2:$C$9&lt;=I19))</f>
        <v/>
      </c>
    </row>
    <row r="20">
      <c r="A20" s="6" t="n">
        <v>19</v>
      </c>
      <c r="B20" t="n">
        <v>44600</v>
      </c>
      <c r="C20">
        <f>ROUND(B20/參數!$B$12,1)</f>
        <v/>
      </c>
      <c r="D20">
        <f>ROUND(B20/參數!$B$13,1)</f>
        <v/>
      </c>
      <c r="E20">
        <f>(A20-1)*參數!$B$2</f>
        <v/>
      </c>
      <c r="F20">
        <f>FLOOR(C20*參數!$B$4,1)*參數!$B$3</f>
        <v/>
      </c>
      <c r="G20">
        <f>E20+F20</f>
        <v/>
      </c>
      <c r="H20">
        <f>SUMPRODUCT(--(星價!$C$2:$C$9&lt;=G20))</f>
        <v/>
      </c>
      <c r="I20">
        <f>E20+FLOOR(D20*參數!$B$4,1)*參數!$B$3</f>
        <v/>
      </c>
      <c r="J20">
        <f>SUMPRODUCT(--(星價!$C$2:$C$9&lt;=I20))</f>
        <v/>
      </c>
    </row>
    <row r="21">
      <c r="A21" s="6" t="n">
        <v>20</v>
      </c>
      <c r="B21" t="n">
        <v>50750</v>
      </c>
      <c r="C21">
        <f>ROUND(B21/參數!$B$12,1)</f>
        <v/>
      </c>
      <c r="D21">
        <f>ROUND(B21/參數!$B$13,1)</f>
        <v/>
      </c>
      <c r="E21">
        <f>(A21-1)*參數!$B$2</f>
        <v/>
      </c>
      <c r="F21">
        <f>FLOOR(C21*參數!$B$4,1)*參數!$B$3</f>
        <v/>
      </c>
      <c r="G21">
        <f>E21+F21</f>
        <v/>
      </c>
      <c r="H21">
        <f>SUMPRODUCT(--(星價!$C$2:$C$9&lt;=G21))</f>
        <v/>
      </c>
      <c r="I21">
        <f>E21+FLOOR(D21*參數!$B$4,1)*參數!$B$3</f>
        <v/>
      </c>
      <c r="J21">
        <f>SUMPRODUCT(--(星價!$C$2:$C$9&lt;=I21))</f>
        <v/>
      </c>
    </row>
    <row r="23">
      <c r="A23" s="8" t="inlineStr">
        <is>
          <t>⚠ 「劇情固定給」沒有攤進逐級（不知道哪一章在哪一級），看「方案比較」那一頁的合計。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12" customWidth="1" min="3" max="3"/>
    <col width="12" customWidth="1" min="4" max="4"/>
    <col width="9" customWidth="1" min="5" max="5"/>
    <col width="7" customWidth="1" min="6" max="6"/>
    <col width="9" customWidth="1" min="7" max="7"/>
    <col width="7" customWidth="1" min="8" max="8"/>
    <col width="9" customWidth="1" min="9" max="9"/>
    <col width="7" customWidth="1" min="10" max="10"/>
    <col width="9" customWidth="1" min="11" max="11"/>
    <col width="7" customWidth="1" min="12" max="12"/>
    <col width="60" customWidth="1" min="13" max="13"/>
  </cols>
  <sheetData>
    <row r="1">
      <c r="A1" s="3" t="inlineStr">
        <is>
          <t>方案</t>
        </is>
      </c>
      <c r="B1" s="3" t="inlineStr">
        <is>
          <t>每升一級</t>
        </is>
      </c>
      <c r="C1" s="3" t="inlineStr">
        <is>
          <t>Boss 局額外</t>
        </is>
      </c>
      <c r="D1" s="3" t="inlineStr">
        <is>
          <t>出廠／固定給</t>
        </is>
      </c>
      <c r="E1" s="3" t="inlineStr">
        <is>
          <t>Lv5 份數</t>
        </is>
      </c>
      <c r="F1" s="3" t="inlineStr">
        <is>
          <t>Lv5 顆</t>
        </is>
      </c>
      <c r="G1" s="3" t="inlineStr">
        <is>
          <t>Lv10 份數</t>
        </is>
      </c>
      <c r="H1" s="3" t="inlineStr">
        <is>
          <t>Lv10 顆</t>
        </is>
      </c>
      <c r="I1" s="3" t="inlineStr">
        <is>
          <t>Lv15 份數</t>
        </is>
      </c>
      <c r="J1" s="3" t="inlineStr">
        <is>
          <t>Lv15 顆</t>
        </is>
      </c>
      <c r="K1" s="3" t="inlineStr">
        <is>
          <t>Lv20 份數</t>
        </is>
      </c>
      <c r="L1" s="3" t="inlineStr">
        <is>
          <t>Lv20 顆</t>
        </is>
      </c>
      <c r="M1" s="3" t="inlineStr">
        <is>
          <t>評語</t>
        </is>
      </c>
    </row>
    <row r="2" ht="34" customHeight="1">
      <c r="A2" s="9" t="inlineStr">
        <is>
          <t>A 現值（每級 1、①出場就亮）</t>
        </is>
      </c>
      <c r="B2" s="4" t="n">
        <v>1</v>
      </c>
      <c r="C2" s="4" t="n">
        <v>0</v>
      </c>
      <c r="D2" s="4" t="n">
        <v>0</v>
      </c>
      <c r="E2" s="10">
        <f>(5-1)*B2+FLOOR('升級與收入'!C6*參數!$B$4,1)*C2+D2</f>
        <v/>
      </c>
      <c r="F2" s="10">
        <f>SUMPRODUCT(--(星價!$C$2:$C$9&lt;=E2))</f>
        <v/>
      </c>
      <c r="G2" s="10">
        <f>(10-1)*B2+FLOOR('升級與收入'!C11*參數!$B$4,1)*C2+D2</f>
        <v/>
      </c>
      <c r="H2" s="10">
        <f>SUMPRODUCT(--(星價!$C$2:$C$9&lt;=G2))</f>
        <v/>
      </c>
      <c r="I2" s="10">
        <f>(15-1)*B2+FLOOR('升級與收入'!C16*參數!$B$4,1)*C2+D2</f>
        <v/>
      </c>
      <c r="J2" s="10">
        <f>SUMPRODUCT(--(星價!$C$2:$C$9&lt;=I2))</f>
        <v/>
      </c>
      <c r="K2" s="10">
        <f>(20-1)*B2+FLOOR('升級與收入'!C21*參數!$B$4,1)*C2+D2</f>
        <v/>
      </c>
      <c r="L2" s="10">
        <f>SUMPRODUCT(--(星價!$C$2:$C$9&lt;=K2))</f>
        <v/>
      </c>
      <c r="M2" s="11" t="inlineStr">
        <is>
          <t>【定案】Lv20 升 19 級＝19 份＝②～⑧ 剛好全亮。Lv5 手上 4 份＝諾薇兒 ②引路＋④堅殼（①已亮）還剩 1。</t>
        </is>
      </c>
    </row>
    <row r="3" ht="34" customHeight="1">
      <c r="A3" s="5" t="inlineStr">
        <is>
          <t>B 每級 1＋Boss 局 1 份</t>
        </is>
      </c>
      <c r="B3" s="4" t="n">
        <v>1</v>
      </c>
      <c r="C3" s="4" t="n">
        <v>1</v>
      </c>
      <c r="D3" s="4" t="n">
        <v>0</v>
      </c>
      <c r="E3">
        <f>(5-1)*B3+FLOOR('升級與收入'!C6*參數!$B$4,1)*C3+D3</f>
        <v/>
      </c>
      <c r="F3">
        <f>SUMPRODUCT(--(星價!$C$2:$C$9&lt;=E3))</f>
        <v/>
      </c>
      <c r="G3">
        <f>(10-1)*B3+FLOOR('升級與收入'!C11*參數!$B$4,1)*C3+D3</f>
        <v/>
      </c>
      <c r="H3">
        <f>SUMPRODUCT(--(星價!$C$2:$C$9&lt;=G3))</f>
        <v/>
      </c>
      <c r="I3">
        <f>(15-1)*B3+FLOOR('升級與收入'!C16*參數!$B$4,1)*C3+D3</f>
        <v/>
      </c>
      <c r="J3">
        <f>SUMPRODUCT(--(星價!$C$2:$C$9&lt;=I3))</f>
        <v/>
      </c>
      <c r="K3">
        <f>(20-1)*B3+FLOOR('升級與收入'!C21*參數!$B$4,1)*C3+D3</f>
        <v/>
      </c>
      <c r="L3">
        <f>SUMPRODUCT(--(星價!$C$2:$C$9&lt;=K3))</f>
        <v/>
      </c>
      <c r="M3" s="7" t="inlineStr">
        <is>
          <t>滿級前就全亮；Boss 越多的路線越快（變成鼓勵刷 Boss）。</t>
        </is>
      </c>
    </row>
    <row r="4" ht="34" customHeight="1">
      <c r="A4" s="5" t="inlineStr">
        <is>
          <t>C 每級 2</t>
        </is>
      </c>
      <c r="B4" s="4" t="n">
        <v>2</v>
      </c>
      <c r="C4" s="4" t="n">
        <v>0</v>
      </c>
      <c r="D4" s="4" t="n">
        <v>0</v>
      </c>
      <c r="E4">
        <f>(5-1)*B4+FLOOR('升級與收入'!C6*參數!$B$4,1)*C4+D4</f>
        <v/>
      </c>
      <c r="F4">
        <f>SUMPRODUCT(--(星價!$C$2:$C$9&lt;=E4))</f>
        <v/>
      </c>
      <c r="G4">
        <f>(10-1)*B4+FLOOR('升級與收入'!C11*參數!$B$4,1)*C4+D4</f>
        <v/>
      </c>
      <c r="H4">
        <f>SUMPRODUCT(--(星價!$C$2:$C$9&lt;=G4))</f>
        <v/>
      </c>
      <c r="I4">
        <f>(15-1)*B4+FLOOR('升級與收入'!C16*參數!$B$4,1)*C4+D4</f>
        <v/>
      </c>
      <c r="J4">
        <f>SUMPRODUCT(--(星價!$C$2:$C$9&lt;=I4))</f>
        <v/>
      </c>
      <c r="K4">
        <f>(20-1)*B4+FLOOR('升級與收入'!C21*參數!$B$4,1)*C4+D4</f>
        <v/>
      </c>
      <c r="L4">
        <f>SUMPRODUCT(--(星價!$C$2:$C$9&lt;=K4))</f>
        <v/>
      </c>
      <c r="M4" s="7" t="inlineStr">
        <is>
          <t>Lv10 前後就全亮：Lv20 那一大段等於沒有獎勵。</t>
        </is>
      </c>
    </row>
    <row r="9">
      <c r="A9" s="8" t="inlineStr">
        <is>
          <t>⚠ ver -1776：等級上限 20（Ray）。「出廠／固定給」＝一開始就在手上的份數（每一欄都算進去）。</t>
        </is>
      </c>
    </row>
    <row r="10">
      <c r="A10" s="8" t="inlineStr">
        <is>
          <t>⚠ 「顆」是依序由便宜到貴能點的顆數；實際玩家會跳著挑（下一頁）。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  <col width="12" customWidth="1" min="3" max="3"/>
    <col width="46" customWidth="1" min="4" max="4"/>
    <col width="30" customWidth="1" min="5" max="5"/>
    <col width="46" customWidth="1" min="6" max="6"/>
  </cols>
  <sheetData>
    <row r="1">
      <c r="A1" s="3" t="inlineStr">
        <is>
          <t>角色</t>
        </is>
      </c>
      <c r="B1" s="3" t="inlineStr">
        <is>
          <t>9 份的最強買法（跳著挑）</t>
        </is>
      </c>
      <c r="C1" s="3" t="inlineStr">
        <is>
          <t>花費</t>
        </is>
      </c>
      <c r="D1" s="3" t="inlineStr">
        <is>
          <t>為什麼強</t>
        </is>
      </c>
      <c r="E1" s="3" t="inlineStr">
        <is>
          <t>風險</t>
        </is>
      </c>
      <c r="F1" s="3" t="inlineStr">
        <is>
          <t>可調的方向（等 Ray 定）</t>
        </is>
      </c>
    </row>
    <row r="2" ht="78" customHeight="1">
      <c r="A2" s="12" t="inlineStr">
        <is>
          <t>諾薇兒</t>
        </is>
      </c>
      <c r="B2" s="12" t="inlineStr">
        <is>
          <t>①先鋒（出場就亮）＋ ②引路 ＋ ④堅殼 ／ 之後 ⑥斷鉗 ＋ ⑦蟹生</t>
        </is>
      </c>
      <c r="C2" s="12" t="inlineStr">
        <is>
          <t>1+2 ＝3（Lv4）／再 3+4</t>
        </is>
      </c>
      <c r="D2" s="12" t="inlineStr">
        <is>
          <t>②④ 3 份（約 Lv4）就是「失誤不受擊＋天鎖回血」的免死組；⑦ 讓連戰每隻怪一次。Ray：②引路對真人玩家很有利，**②＋⑥斷鉗基本就是 MB 保證**（1+3＝4 份，約 Lv5）—— 中期輸出並不弱，只是不比安雅的爆發。</t>
        </is>
      </c>
      <c r="E2" s="12" t="inlineStr">
        <is>
          <t>低。</t>
        </is>
      </c>
      <c r="F2" s="12" t="inlineStr">
        <is>
          <t>保守型玩家的首選（Ray）。不改。</t>
        </is>
      </c>
    </row>
    <row r="3" ht="78" customHeight="1">
      <c r="A3" s="12" t="inlineStr">
        <is>
          <t>安雅</t>
        </is>
      </c>
      <c r="B3" s="12" t="inlineStr">
        <is>
          <t>④赤足 ＋ ②築壩者 ＋ ⑤赤爪 ／ 之後 ⑦鐵蹄 ＋ ⑧界心</t>
        </is>
      </c>
      <c r="C3" s="12" t="inlineStr">
        <is>
          <t>2+1+3 ＝6（Lv7）</t>
        </is>
      </c>
      <c r="D3" s="12" t="inlineStr">
        <is>
          <t>明晰之夢與夢魘化同一套：必中、威力照圈色，赤足／鐵蹄各升一階（紅圈最高兩倍）。夢境破碎一場一發（20%／30%）。非夢魘化的粉碎＝**固定 5 秒**的增益（Ray -1779：與 Boss 的密集圈對沖，不長駐）；赤爪星十連回填它。</t>
        </is>
      </c>
      <c r="E3" s="12" t="inlineStr">
        <is>
          <t>中。增益期間必中的反擊不扣血 ⇒ 也有保命面，但 5 秒＋十連回填，上限有限。</t>
        </is>
      </c>
      <c r="F3" s="12" t="inlineStr">
        <is>
          <t>已定。</t>
        </is>
      </c>
    </row>
    <row r="4" ht="78" customHeight="1">
      <c r="A4" s="12" t="inlineStr">
        <is>
          <t>索菈娜</t>
        </is>
      </c>
      <c r="B4" s="12" t="inlineStr">
        <is>
          <t>②箭頭 ＋ ⑤海宣（＋ ⑦聚落）</t>
        </is>
      </c>
      <c r="C4" s="12" t="inlineStr">
        <is>
          <t>1+3 ＝4（Lv5）</t>
        </is>
      </c>
      <c r="D4" s="12" t="inlineStr">
        <is>
          <t>戰吼→彈雨→再戰吼的循環中期就成形 —— **刻意的**：她最晚加入、等級最低，紅利不往前放會早早被棄用（Ray）。</t>
        </is>
      </c>
      <c r="E4" s="12" t="inlineStr">
        <is>
          <t>中：輸出強，但**零回血**，連戰會被耗死；評價係數 650、命中 ×0.5 是她的代價。</t>
        </is>
      </c>
      <c r="F4" s="12" t="inlineStr">
        <is>
          <t>不改（Ray）。</t>
        </is>
      </c>
    </row>
    <row r="6">
      <c r="A6" s="5" t="inlineStr">
        <is>
          <t>結論</t>
        </is>
      </c>
    </row>
    <row r="7" ht="60" customHeight="1">
      <c r="A7" s="7" t="inlineStr">
        <is>
          <t>結論（ver -1779，與 Ray 對過）：三人定位清楚 —— 諾薇兒保命（②④ 約 Lv4 就免死，②⑥ 就是 MB 保證）、安雅爆發（升階＋粉碎，非夢魘粉碎只有 5 秒）、索菈娜中期輸出（循環 Lv5 成形，但零回血會被耗死）。索菈娜的循環刻意放在前面：她最晚加入、等級最低。</t>
        </is>
      </c>
    </row>
  </sheetData>
  <mergeCells count="1"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2026-09-26T17:49:05Z</dcterms:created>
  <dcterms:modified xmlns:dcterms="http://purl.org/dc/terms/" xmlns:xsi="http://www.w3.org/2001/XMLSchema-instance" xsi:type="dcterms:W3CDTF">2026-09-26T17:49:05Z</dcterms:modified>
</cp:coreProperties>
</file>